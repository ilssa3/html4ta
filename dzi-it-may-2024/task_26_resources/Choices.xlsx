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E:\dzi-it-may-2024\task_26_resources\"/>
    </mc:Choice>
  </mc:AlternateContent>
  <xr:revisionPtr revIDLastSave="0" documentId="13_ncr:1_{012E8356-FB34-4F98-A9D4-01500C652F25}" xr6:coauthVersionLast="36" xr6:coauthVersionMax="36" xr10:uidLastSave="{00000000-0000-0000-0000-000000000000}"/>
  <bookViews>
    <workbookView xWindow="0" yWindow="0" windowWidth="28800" windowHeight="10995" activeTab="4" xr2:uid="{00000000-000D-0000-FFFF-FFFF00000000}"/>
  </bookViews>
  <sheets>
    <sheet name="Кандидати" sheetId="4" r:id="rId1"/>
    <sheet name="Кутия1" sheetId="2" r:id="rId2"/>
    <sheet name="Кутия2" sheetId="3" r:id="rId3"/>
    <sheet name="Кутия3" sheetId="1" r:id="rId4"/>
    <sheet name="Резултати" sheetId="5" r:id="rId5"/>
    <sheet name="Резултати по класове" sheetId="6" r:id="rId6"/>
  </sheets>
  <calcPr calcId="191029"/>
  <pivotCaches>
    <pivotCache cacheId="4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2" i="5"/>
  <c r="E2" i="5"/>
  <c r="H2" i="5" s="1"/>
  <c r="H34" i="5" s="1"/>
  <c r="E3" i="5"/>
  <c r="H3" i="5" s="1"/>
  <c r="E4" i="5"/>
  <c r="H4" i="5" s="1"/>
  <c r="E5" i="5"/>
  <c r="H5" i="5" s="1"/>
  <c r="E6" i="5"/>
  <c r="H6" i="5" s="1"/>
  <c r="E7" i="5"/>
  <c r="H7" i="5" s="1"/>
  <c r="E8" i="5"/>
  <c r="H8" i="5" s="1"/>
  <c r="E9" i="5"/>
  <c r="H9" i="5" s="1"/>
  <c r="E10" i="5"/>
  <c r="H10" i="5" s="1"/>
  <c r="E11" i="5"/>
  <c r="H11" i="5" s="1"/>
  <c r="E12" i="5"/>
  <c r="H12" i="5" s="1"/>
  <c r="E13" i="5"/>
  <c r="H13" i="5" s="1"/>
  <c r="E14" i="5"/>
  <c r="H14" i="5" s="1"/>
  <c r="E15" i="5"/>
  <c r="H15" i="5" s="1"/>
  <c r="E16" i="5"/>
  <c r="H16" i="5" s="1"/>
  <c r="E17" i="5"/>
  <c r="H17" i="5" s="1"/>
  <c r="E18" i="5"/>
  <c r="H18" i="5" s="1"/>
  <c r="E19" i="5"/>
  <c r="H19" i="5" s="1"/>
  <c r="E20" i="5"/>
  <c r="H20" i="5" s="1"/>
  <c r="E21" i="5"/>
  <c r="H21" i="5" s="1"/>
  <c r="E22" i="5"/>
  <c r="H22" i="5" s="1"/>
  <c r="E23" i="5"/>
  <c r="H23" i="5" s="1"/>
  <c r="E24" i="5"/>
  <c r="H24" i="5" s="1"/>
  <c r="E25" i="5"/>
  <c r="H25" i="5" s="1"/>
  <c r="E26" i="5"/>
  <c r="H26" i="5" s="1"/>
  <c r="E27" i="5"/>
  <c r="H27" i="5" s="1"/>
  <c r="E28" i="5"/>
  <c r="H28" i="5" s="1"/>
  <c r="E29" i="5"/>
  <c r="H29" i="5" s="1"/>
  <c r="E30" i="5"/>
  <c r="H30" i="5" s="1"/>
  <c r="E31" i="5"/>
  <c r="H31" i="5" s="1"/>
  <c r="E32" i="5"/>
  <c r="H32" i="5" s="1"/>
  <c r="E33" i="5"/>
  <c r="H33" i="5" s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2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1" l="1"/>
  <c r="B34" i="3"/>
  <c r="B34" i="2"/>
</calcChain>
</file>

<file path=xl/sharedStrings.xml><?xml version="1.0" encoding="utf-8"?>
<sst xmlns="http://schemas.openxmlformats.org/spreadsheetml/2006/main" count="90" uniqueCount="47">
  <si>
    <t>№ на кандидат</t>
  </si>
  <si>
    <t>Клас</t>
  </si>
  <si>
    <t>Паралелка</t>
  </si>
  <si>
    <t>Име</t>
  </si>
  <si>
    <t>а</t>
  </si>
  <si>
    <t>Стефан Петров</t>
  </si>
  <si>
    <t>б</t>
  </si>
  <si>
    <t>Елена Иванова</t>
  </si>
  <si>
    <t>в</t>
  </si>
  <si>
    <t>Иван Димитров</t>
  </si>
  <si>
    <t>г</t>
  </si>
  <si>
    <t>Мария Попова</t>
  </si>
  <si>
    <t>Димитър Георгиев</t>
  </si>
  <si>
    <t>Ана Василева</t>
  </si>
  <si>
    <t>Георги Костов</t>
  </si>
  <si>
    <t>Катерина Ангелова</t>
  </si>
  <si>
    <t>Николай Стефанов</t>
  </si>
  <si>
    <t>Адриана Петрова</t>
  </si>
  <si>
    <t>Иван Иванов</t>
  </si>
  <si>
    <t>Мария Кирова</t>
  </si>
  <si>
    <t>Димитър Великов</t>
  </si>
  <si>
    <t>Тодор Йорданов</t>
  </si>
  <si>
    <t>Милена Петрова</t>
  </si>
  <si>
    <t>Христо Маринов</t>
  </si>
  <si>
    <t>Десислава Стоянова</t>
  </si>
  <si>
    <t>Васил Желязков</t>
  </si>
  <si>
    <t>Надежда Борисова</t>
  </si>
  <si>
    <t>Любомир Младенов</t>
  </si>
  <si>
    <t>Ралица Николова</t>
  </si>
  <si>
    <t>Александър Тодоров</t>
  </si>
  <si>
    <t>Силвия Любомирова</t>
  </si>
  <si>
    <t>Георги Георгиев</t>
  </si>
  <si>
    <t>Катерина Василева</t>
  </si>
  <si>
    <t>Николай Костов</t>
  </si>
  <si>
    <t>Адриана Ангелова</t>
  </si>
  <si>
    <t>Иван Йорданов</t>
  </si>
  <si>
    <t>Мария Петрова</t>
  </si>
  <si>
    <t>Димитър Маринов</t>
  </si>
  <si>
    <t>Тодор Стоянов</t>
  </si>
  <si>
    <t>Милена Желязкова</t>
  </si>
  <si>
    <t>общо</t>
  </si>
  <si>
    <t>Брой гласове</t>
  </si>
  <si>
    <t>Кутия 1</t>
  </si>
  <si>
    <t>Кутия 2</t>
  </si>
  <si>
    <t>Кутия 3</t>
  </si>
  <si>
    <t>Общо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</si>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</sst>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rgb="FF0D0D0D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13" xfId="0" applyBorder="1" applyProtection="1">
      <protection locked="0"/>
    </xf>
    <xf numFmtId="0" fontId="0" fillId="0" borderId="14" xfId="0" applyBorder="1" applyProtection="1"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1" fillId="2" borderId="16" xfId="0" applyFont="1" applyFill="1" applyBorder="1" applyAlignment="1" applyProtection="1">
      <alignment horizontal="center"/>
      <protection locked="0"/>
    </xf>
    <xf numFmtId="0" fontId="0" fillId="0" borderId="17" xfId="0" applyBorder="1" applyProtection="1">
      <protection locked="0"/>
    </xf>
  </cellXfs>
  <cellStyles count="1">
    <cellStyle name="Normal" xfId="0" builtinId="0"/>
  </cellStyles>
  <dxfs count="49"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[Choices.xlsx]Резултати по класове!PivotTable2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bg-BG"/>
              <a:t>Резултати</a:t>
            </a:r>
            <a:r>
              <a:rPr lang="bg-BG" baseline="0"/>
              <a:t> от изборите за УП по класове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bg-B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'Резултати по класове'!$B$1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'Резултати по класове'!$A$2:$A$10</c:f>
              <c:strCache>
                <c:ptCount val="8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8</c:v>
                </c:pt>
                <c:pt idx="5">
                  <c:v>11</c:v>
                </c:pt>
                <c:pt idx="6">
                  <c:v>6</c:v>
                </c:pt>
                <c:pt idx="7">
                  <c:v>5</c:v>
                </c:pt>
              </c:strCache>
            </c:strRef>
          </c:cat>
          <c:val>
            <c:numRef>
              <c:f>'Резултати по класове'!$B$2:$B$10</c:f>
              <c:numCache>
                <c:formatCode>General</c:formatCode>
                <c:ptCount val="8"/>
                <c:pt idx="0">
                  <c:v>126</c:v>
                </c:pt>
                <c:pt idx="1">
                  <c:v>118</c:v>
                </c:pt>
                <c:pt idx="2">
                  <c:v>114</c:v>
                </c:pt>
                <c:pt idx="3">
                  <c:v>105</c:v>
                </c:pt>
                <c:pt idx="4">
                  <c:v>103</c:v>
                </c:pt>
                <c:pt idx="5">
                  <c:v>102</c:v>
                </c:pt>
                <c:pt idx="6">
                  <c:v>84</c:v>
                </c:pt>
                <c:pt idx="7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8-4ADC-A3A3-014568929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9315264"/>
        <c:axId val="856525776"/>
      </c:barChart>
      <c:catAx>
        <c:axId val="859315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bg-BG"/>
                  <a:t>Клас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bg-B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856525776"/>
        <c:crosses val="autoZero"/>
        <c:auto val="1"/>
        <c:lblAlgn val="ctr"/>
        <c:lblOffset val="100"/>
        <c:noMultiLvlLbl val="0"/>
      </c:catAx>
      <c:valAx>
        <c:axId val="85652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bg-BG"/>
                  <a:t>Брой</a:t>
                </a:r>
                <a:r>
                  <a:rPr lang="bg-BG" baseline="0"/>
                  <a:t> гласове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bg-B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85931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bg-B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bg-B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261937</xdr:colOff>
      <xdr:row>12</xdr:row>
      <xdr:rowOff>23812</xdr:rowOff>
    </xdr:from>
    <xdr:to>
      <xdr:col>9</xdr:col>
      <xdr:colOff>471487</xdr:colOff>
      <xdr:row>26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AA3194-2B95-4681-A2ED-9D15BC1E7E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1" refreshedDate="45716.485647685186" createdVersion="6" refreshedVersion="6" minRefreshableVersion="3" recordCount="32" xr:uid="{F41F7788-2548-4460-B61B-9CE317A86174}">
  <cacheSource type="worksheet">
    <worksheetSource ref="A1:H33" sheet="Резултати"/>
  </cacheSource>
  <cacheFields count="8">
    <cacheField name="№ на кандидат" numFmtId="0">
      <sharedItems containsSemiMixedTypes="0" containsString="0" containsNumber="1" containsInteger="1" minValue="101" maxValue="132"/>
    </cacheField>
    <cacheField name="Клас" numFmtId="0">
      <sharedItems containsSemiMixedTypes="0" containsString="0" containsNumber="1" containsInteger="1" minValue="5" maxValue="12" count="8">
        <n v="5"/>
        <n v="6"/>
        <n v="7"/>
        <n v="8"/>
        <n v="9"/>
        <n v="10"/>
        <n v="11"/>
        <n v="12"/>
      </sharedItems>
    </cacheField>
    <cacheField name="Паралелка" numFmtId="0">
      <sharedItems/>
    </cacheField>
    <cacheField name="Име" numFmtId="0">
      <sharedItems count="32">
        <s v="Стефан Петров"/>
        <s v="Елена Иванова"/>
        <s v="Иван Димитров"/>
        <s v="Мария Попова"/>
        <s v="Димитър Георгиев"/>
        <s v="Ана Василева"/>
        <s v="Георги Костов"/>
        <s v="Катерина Ангелова"/>
        <s v="Николай Стефанов"/>
        <s v="Адриана Петрова"/>
        <s v="Иван Иванов"/>
        <s v="Мария Кирова"/>
        <s v="Димитър Великов"/>
        <s v="Тодор Йорданов"/>
        <s v="Милена Петрова"/>
        <s v="Христо Маринов"/>
        <s v="Десислава Стоянова"/>
        <s v="Васил Желязков"/>
        <s v="Надежда Борисова"/>
        <s v="Любомир Младенов"/>
        <s v="Ралица Николова"/>
        <s v="Александър Тодоров"/>
        <s v="Силвия Любомирова"/>
        <s v="Георги Георгиев"/>
        <s v="Катерина Василева"/>
        <s v="Николай Костов"/>
        <s v="Адриана Ангелова"/>
        <s v="Иван Йорданов"/>
        <s v="Мария Петрова"/>
        <s v="Димитър Маринов"/>
        <s v="Тодор Стоянов"/>
        <s v="Милена Желязкова"/>
      </sharedItems>
    </cacheField>
    <cacheField name="Кутия 1" numFmtId="0">
      <sharedItems containsSemiMixedTypes="0" containsString="0" containsNumber="1" containsInteger="1" minValue="3" maxValue="13"/>
    </cacheField>
    <cacheField name="Кутия 2" numFmtId="0">
      <sharedItems containsSemiMixedTypes="0" containsString="0" containsNumber="1" containsInteger="1" minValue="3" maxValue="14"/>
    </cacheField>
    <cacheField name="Кутия 3" numFmtId="0">
      <sharedItems containsSemiMixedTypes="0" containsString="0" containsNumber="1" containsInteger="1" minValue="3" maxValue="14"/>
    </cacheField>
    <cacheField name="Общо" numFmtId="0">
      <sharedItems containsSemiMixedTypes="0" containsString="0" containsNumber="1" containsInteger="1" minValue="15" maxValue="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01"/>
    <x v="0"/>
    <s v="а"/>
    <x v="0"/>
    <n v="7"/>
    <n v="6"/>
    <n v="9"/>
    <n v="22"/>
  </r>
  <r>
    <n v="102"/>
    <x v="0"/>
    <s v="б"/>
    <x v="1"/>
    <n v="3"/>
    <n v="5"/>
    <n v="8"/>
    <n v="16"/>
  </r>
  <r>
    <n v="103"/>
    <x v="0"/>
    <s v="в"/>
    <x v="2"/>
    <n v="6"/>
    <n v="7"/>
    <n v="7"/>
    <n v="20"/>
  </r>
  <r>
    <n v="104"/>
    <x v="0"/>
    <s v="г"/>
    <x v="3"/>
    <n v="4"/>
    <n v="8"/>
    <n v="3"/>
    <n v="15"/>
  </r>
  <r>
    <n v="105"/>
    <x v="1"/>
    <s v="а"/>
    <x v="4"/>
    <n v="4"/>
    <n v="9"/>
    <n v="6"/>
    <n v="19"/>
  </r>
  <r>
    <n v="106"/>
    <x v="1"/>
    <s v="б"/>
    <x v="5"/>
    <n v="5"/>
    <n v="8"/>
    <n v="4"/>
    <n v="17"/>
  </r>
  <r>
    <n v="107"/>
    <x v="1"/>
    <s v="в"/>
    <x v="6"/>
    <n v="9"/>
    <n v="7"/>
    <n v="6"/>
    <n v="22"/>
  </r>
  <r>
    <n v="108"/>
    <x v="1"/>
    <s v="г"/>
    <x v="7"/>
    <n v="8"/>
    <n v="9"/>
    <n v="9"/>
    <n v="26"/>
  </r>
  <r>
    <n v="109"/>
    <x v="2"/>
    <s v="а"/>
    <x v="8"/>
    <n v="9"/>
    <n v="6"/>
    <n v="8"/>
    <n v="23"/>
  </r>
  <r>
    <n v="110"/>
    <x v="2"/>
    <s v="б"/>
    <x v="9"/>
    <n v="8"/>
    <n v="9"/>
    <n v="8"/>
    <n v="25"/>
  </r>
  <r>
    <n v="111"/>
    <x v="2"/>
    <s v="в"/>
    <x v="10"/>
    <n v="9"/>
    <n v="10"/>
    <n v="9"/>
    <n v="28"/>
  </r>
  <r>
    <n v="112"/>
    <x v="2"/>
    <s v="г"/>
    <x v="11"/>
    <n v="9"/>
    <n v="14"/>
    <n v="6"/>
    <n v="29"/>
  </r>
  <r>
    <n v="113"/>
    <x v="3"/>
    <s v="а"/>
    <x v="12"/>
    <n v="6"/>
    <n v="9"/>
    <n v="7"/>
    <n v="22"/>
  </r>
  <r>
    <n v="114"/>
    <x v="3"/>
    <s v="б"/>
    <x v="13"/>
    <n v="10"/>
    <n v="6"/>
    <n v="11"/>
    <n v="27"/>
  </r>
  <r>
    <n v="115"/>
    <x v="3"/>
    <s v="в"/>
    <x v="14"/>
    <n v="11"/>
    <n v="10"/>
    <n v="7"/>
    <n v="28"/>
  </r>
  <r>
    <n v="116"/>
    <x v="3"/>
    <s v="г"/>
    <x v="15"/>
    <n v="10"/>
    <n v="11"/>
    <n v="5"/>
    <n v="26"/>
  </r>
  <r>
    <n v="117"/>
    <x v="4"/>
    <s v="а"/>
    <x v="16"/>
    <n v="5"/>
    <n v="10"/>
    <n v="10"/>
    <n v="25"/>
  </r>
  <r>
    <n v="118"/>
    <x v="4"/>
    <s v="б"/>
    <x v="17"/>
    <n v="12"/>
    <n v="9"/>
    <n v="11"/>
    <n v="32"/>
  </r>
  <r>
    <n v="119"/>
    <x v="4"/>
    <s v="в"/>
    <x v="18"/>
    <n v="13"/>
    <n v="10"/>
    <n v="3"/>
    <n v="26"/>
  </r>
  <r>
    <n v="120"/>
    <x v="4"/>
    <s v="г"/>
    <x v="19"/>
    <n v="8"/>
    <n v="11"/>
    <n v="12"/>
    <n v="31"/>
  </r>
  <r>
    <n v="121"/>
    <x v="5"/>
    <s v="а"/>
    <x v="20"/>
    <n v="12"/>
    <n v="8"/>
    <n v="9"/>
    <n v="29"/>
  </r>
  <r>
    <n v="122"/>
    <x v="5"/>
    <s v="б"/>
    <x v="21"/>
    <n v="9"/>
    <n v="12"/>
    <n v="5"/>
    <n v="26"/>
  </r>
  <r>
    <n v="123"/>
    <x v="5"/>
    <s v="в"/>
    <x v="22"/>
    <n v="12"/>
    <n v="9"/>
    <n v="10"/>
    <n v="31"/>
  </r>
  <r>
    <n v="124"/>
    <x v="5"/>
    <s v="г"/>
    <x v="23"/>
    <n v="11"/>
    <n v="12"/>
    <n v="9"/>
    <n v="32"/>
  </r>
  <r>
    <n v="125"/>
    <x v="6"/>
    <s v="а"/>
    <x v="24"/>
    <n v="13"/>
    <n v="7"/>
    <n v="8"/>
    <n v="28"/>
  </r>
  <r>
    <n v="126"/>
    <x v="6"/>
    <s v="б"/>
    <x v="25"/>
    <n v="11"/>
    <n v="3"/>
    <n v="12"/>
    <n v="26"/>
  </r>
  <r>
    <n v="127"/>
    <x v="6"/>
    <s v="в"/>
    <x v="26"/>
    <n v="9"/>
    <n v="6"/>
    <n v="9"/>
    <n v="24"/>
  </r>
  <r>
    <n v="128"/>
    <x v="6"/>
    <s v="г"/>
    <x v="27"/>
    <n v="8"/>
    <n v="4"/>
    <n v="12"/>
    <n v="24"/>
  </r>
  <r>
    <n v="129"/>
    <x v="7"/>
    <s v="а"/>
    <x v="28"/>
    <n v="13"/>
    <n v="6"/>
    <n v="14"/>
    <n v="33"/>
  </r>
  <r>
    <n v="130"/>
    <x v="7"/>
    <s v="б"/>
    <x v="29"/>
    <n v="10"/>
    <n v="10"/>
    <n v="11"/>
    <n v="31"/>
  </r>
  <r>
    <n v="131"/>
    <x v="7"/>
    <s v="в"/>
    <x v="30"/>
    <n v="4"/>
    <n v="14"/>
    <n v="10"/>
    <n v="28"/>
  </r>
  <r>
    <n v="132"/>
    <x v="7"/>
    <s v="г"/>
    <x v="31"/>
    <n v="12"/>
    <n v="12"/>
    <n v="10"/>
    <n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CCE896-4C77-47BB-9AFB-EAB0C4939BDA}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Клас">
  <location ref="A1:B10" firstHeaderRow="1" firstDataRow="1" firstDataCol="1"/>
  <pivotFields count="8">
    <pivotField showAll="0"/>
    <pivotField axis="axisRow" showAll="0" sortType="descending">
      <items count="9">
        <item x="0"/>
        <item x="1"/>
        <item x="2"/>
        <item x="3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33">
        <item x="26"/>
        <item x="9"/>
        <item x="21"/>
        <item x="5"/>
        <item x="17"/>
        <item x="23"/>
        <item x="6"/>
        <item x="16"/>
        <item x="12"/>
        <item x="4"/>
        <item x="29"/>
        <item x="1"/>
        <item x="2"/>
        <item x="10"/>
        <item x="27"/>
        <item x="7"/>
        <item x="24"/>
        <item x="19"/>
        <item x="11"/>
        <item x="28"/>
        <item x="3"/>
        <item x="31"/>
        <item x="14"/>
        <item x="18"/>
        <item x="25"/>
        <item x="8"/>
        <item x="20"/>
        <item x="22"/>
        <item x="0"/>
        <item x="13"/>
        <item x="30"/>
        <item x="15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9">
    <i>
      <x v="7"/>
    </i>
    <i>
      <x v="5"/>
    </i>
    <i>
      <x v="4"/>
    </i>
    <i>
      <x v="2"/>
    </i>
    <i>
      <x v="3"/>
    </i>
    <i>
      <x v="6"/>
    </i>
    <i>
      <x v="1"/>
    </i>
    <i>
      <x/>
    </i>
    <i t="grand">
      <x/>
    </i>
  </rowItems>
  <colItems count="1">
    <i/>
  </colItems>
  <dataFields count="1">
    <dataField name="Брой гласове" fld="7" baseField="0" baseItem="0"/>
  </dataFields>
  <formats count="6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1" type="button" dataOnly="0" labelOnly="1" outline="0" axis="axisRow" fieldPosition="0"/>
    </format>
    <format dxfId="45">
      <pivotArea dataOnly="0" labelOnly="1" fieldPosition="0">
        <references count="1">
          <reference field="1" count="0"/>
        </references>
      </pivotArea>
    </format>
    <format dxfId="44">
      <pivotArea dataOnly="0" labelOnly="1" grandRow="1" outline="0" fieldPosition="0"/>
    </format>
    <format dxfId="4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65F521-E8E5-406F-96D8-A13747DAB66B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33:K50" firstHeaderRow="1" firstDataRow="1" firstDataCol="0"/>
  <pivotFields count="8"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AD1427-E893-45C8-BB62-7FD7C4A019BA}" name="Table1" displayName="Table1" ref="A1:H33" totalsRowShown="0" headerRowDxfId="8" headerRowBorderDxfId="10" tableBorderDxfId="11" totalsRowBorderDxfId="9">
  <autoFilter ref="A1:H33" xr:uid="{0E04036E-1531-4F40-ABDC-555A35790F3A}"/>
  <tableColumns count="8">
    <tableColumn id="1" xr3:uid="{C1B034C8-3D7C-4788-A33D-5AC09B9D7970}" name="№ на кандидат" dataDxfId="3"/>
    <tableColumn id="2" xr3:uid="{C0A254DA-BCDB-4A42-81CF-812B8163BF26}" name="Клас" dataDxfId="2">
      <calculatedColumnFormula>VLOOKUP(A2,Кандидати!A1:D34,2,0)</calculatedColumnFormula>
    </tableColumn>
    <tableColumn id="3" xr3:uid="{7F8317BF-24E0-401A-BE41-F1815388C4B5}" name="Паралелка" dataDxfId="1">
      <calculatedColumnFormula>VLOOKUP(A2,Кандидати!A1:D34,3,0)</calculatedColumnFormula>
    </tableColumn>
    <tableColumn id="4" xr3:uid="{BF582EAB-F163-4641-A8F5-FFC3B8DF779A}" name="Име" dataDxfId="0">
      <calculatedColumnFormula>VLOOKUP(A2,Кандидати!A1:D34,4,0)</calculatedColumnFormula>
    </tableColumn>
    <tableColumn id="5" xr3:uid="{BE8B4E05-6813-4A17-8285-A4A260ACC2B4}" name="Кутия 1" dataDxfId="7">
      <calculatedColumnFormula>VLOOKUP(A2,Кутия1!A1:B33,2,0)</calculatedColumnFormula>
    </tableColumn>
    <tableColumn id="6" xr3:uid="{32277459-1F2F-4D31-9D97-FEC6CA8DE460}" name="Кутия 2" dataDxfId="6">
      <calculatedColumnFormula>VLOOKUP(A2,Кутия2!A1:B33,2,0)</calculatedColumnFormula>
    </tableColumn>
    <tableColumn id="7" xr3:uid="{25BCDB19-4184-45F5-8419-3499BDC26622}" name="Кутия 3" dataDxfId="5">
      <calculatedColumnFormula>VLOOKUP(A2,Кутия3!A1:B33,2,0)</calculatedColumnFormula>
    </tableColumn>
    <tableColumn id="8" xr3:uid="{8784B166-FE1D-48DE-90CC-25CCECB7E75A}" name="Общо" dataDxfId="4">
      <calculatedColumnFormula>E2+F2+G2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workbookViewId="0">
      <selection activeCell="A3" sqref="A3:A34"/>
    </sheetView>
  </sheetViews>
  <sheetFormatPr defaultRowHeight="15" x14ac:dyDescent="0.25"/>
  <cols>
    <col min="1" max="1" width="11.42578125" customWidth="1"/>
    <col min="2" max="2" width="6.28515625" customWidth="1"/>
    <col min="3" max="3" width="12.7109375" customWidth="1"/>
    <col min="4" max="4" width="20.28515625" customWidth="1"/>
  </cols>
  <sheetData>
    <row r="1" spans="1:4" x14ac:dyDescent="0.25">
      <c r="A1" s="7" t="s">
        <v>0</v>
      </c>
      <c r="B1" s="6" t="s">
        <v>1</v>
      </c>
      <c r="C1" s="6" t="s">
        <v>2</v>
      </c>
      <c r="D1" s="6" t="s">
        <v>3</v>
      </c>
    </row>
    <row r="2" spans="1:4" x14ac:dyDescent="0.25">
      <c r="A2" s="7"/>
      <c r="B2" s="6"/>
      <c r="C2" s="6"/>
      <c r="D2" s="6"/>
    </row>
    <row r="3" spans="1:4" ht="14.45" customHeight="1" x14ac:dyDescent="0.25">
      <c r="A3" s="2">
        <v>101</v>
      </c>
      <c r="B3" s="1">
        <v>5</v>
      </c>
      <c r="C3" s="1" t="s">
        <v>4</v>
      </c>
      <c r="D3" s="1" t="s">
        <v>5</v>
      </c>
    </row>
    <row r="4" spans="1:4" ht="15.75" x14ac:dyDescent="0.25">
      <c r="A4" s="2">
        <v>102</v>
      </c>
      <c r="B4" s="1">
        <v>5</v>
      </c>
      <c r="C4" s="1" t="s">
        <v>6</v>
      </c>
      <c r="D4" s="1" t="s">
        <v>7</v>
      </c>
    </row>
    <row r="5" spans="1:4" ht="15.75" x14ac:dyDescent="0.25">
      <c r="A5" s="2">
        <v>103</v>
      </c>
      <c r="B5" s="1">
        <v>5</v>
      </c>
      <c r="C5" s="1" t="s">
        <v>8</v>
      </c>
      <c r="D5" s="1" t="s">
        <v>9</v>
      </c>
    </row>
    <row r="6" spans="1:4" ht="15.75" x14ac:dyDescent="0.25">
      <c r="A6" s="2">
        <v>104</v>
      </c>
      <c r="B6" s="1">
        <v>5</v>
      </c>
      <c r="C6" s="1" t="s">
        <v>10</v>
      </c>
      <c r="D6" s="1" t="s">
        <v>11</v>
      </c>
    </row>
    <row r="7" spans="1:4" ht="15.75" x14ac:dyDescent="0.25">
      <c r="A7" s="2">
        <v>105</v>
      </c>
      <c r="B7" s="1">
        <v>6</v>
      </c>
      <c r="C7" s="1" t="s">
        <v>4</v>
      </c>
      <c r="D7" s="1" t="s">
        <v>12</v>
      </c>
    </row>
    <row r="8" spans="1:4" ht="15.75" x14ac:dyDescent="0.25">
      <c r="A8" s="2">
        <v>106</v>
      </c>
      <c r="B8" s="1">
        <v>6</v>
      </c>
      <c r="C8" s="1" t="s">
        <v>6</v>
      </c>
      <c r="D8" s="1" t="s">
        <v>13</v>
      </c>
    </row>
    <row r="9" spans="1:4" ht="15.75" x14ac:dyDescent="0.25">
      <c r="A9" s="2">
        <v>107</v>
      </c>
      <c r="B9" s="1">
        <v>6</v>
      </c>
      <c r="C9" s="1" t="s">
        <v>8</v>
      </c>
      <c r="D9" s="1" t="s">
        <v>14</v>
      </c>
    </row>
    <row r="10" spans="1:4" ht="15.75" x14ac:dyDescent="0.25">
      <c r="A10" s="2">
        <v>108</v>
      </c>
      <c r="B10" s="1">
        <v>6</v>
      </c>
      <c r="C10" s="1" t="s">
        <v>10</v>
      </c>
      <c r="D10" s="1" t="s">
        <v>15</v>
      </c>
    </row>
    <row r="11" spans="1:4" ht="15.75" x14ac:dyDescent="0.25">
      <c r="A11" s="2">
        <v>109</v>
      </c>
      <c r="B11" s="1">
        <v>7</v>
      </c>
      <c r="C11" s="1" t="s">
        <v>4</v>
      </c>
      <c r="D11" s="1" t="s">
        <v>16</v>
      </c>
    </row>
    <row r="12" spans="1:4" ht="15.75" x14ac:dyDescent="0.25">
      <c r="A12" s="2">
        <v>110</v>
      </c>
      <c r="B12" s="1">
        <v>7</v>
      </c>
      <c r="C12" s="1" t="s">
        <v>6</v>
      </c>
      <c r="D12" s="1" t="s">
        <v>17</v>
      </c>
    </row>
    <row r="13" spans="1:4" ht="15.75" x14ac:dyDescent="0.25">
      <c r="A13" s="2">
        <v>111</v>
      </c>
      <c r="B13" s="1">
        <v>7</v>
      </c>
      <c r="C13" s="1" t="s">
        <v>8</v>
      </c>
      <c r="D13" s="1" t="s">
        <v>18</v>
      </c>
    </row>
    <row r="14" spans="1:4" ht="15.75" x14ac:dyDescent="0.25">
      <c r="A14" s="2">
        <v>112</v>
      </c>
      <c r="B14" s="1">
        <v>7</v>
      </c>
      <c r="C14" s="1" t="s">
        <v>10</v>
      </c>
      <c r="D14" s="1" t="s">
        <v>19</v>
      </c>
    </row>
    <row r="15" spans="1:4" ht="15.75" x14ac:dyDescent="0.25">
      <c r="A15" s="2">
        <v>113</v>
      </c>
      <c r="B15" s="1">
        <v>8</v>
      </c>
      <c r="C15" s="1" t="s">
        <v>4</v>
      </c>
      <c r="D15" s="1" t="s">
        <v>20</v>
      </c>
    </row>
    <row r="16" spans="1:4" ht="15.75" x14ac:dyDescent="0.25">
      <c r="A16" s="2">
        <v>114</v>
      </c>
      <c r="B16" s="1">
        <v>8</v>
      </c>
      <c r="C16" s="1" t="s">
        <v>6</v>
      </c>
      <c r="D16" s="1" t="s">
        <v>21</v>
      </c>
    </row>
    <row r="17" spans="1:4" ht="15.75" x14ac:dyDescent="0.25">
      <c r="A17" s="2">
        <v>115</v>
      </c>
      <c r="B17" s="1">
        <v>8</v>
      </c>
      <c r="C17" s="1" t="s">
        <v>8</v>
      </c>
      <c r="D17" s="1" t="s">
        <v>22</v>
      </c>
    </row>
    <row r="18" spans="1:4" ht="15.75" x14ac:dyDescent="0.25">
      <c r="A18" s="2">
        <v>116</v>
      </c>
      <c r="B18" s="1">
        <v>8</v>
      </c>
      <c r="C18" s="1" t="s">
        <v>10</v>
      </c>
      <c r="D18" s="1" t="s">
        <v>23</v>
      </c>
    </row>
    <row r="19" spans="1:4" ht="15.75" x14ac:dyDescent="0.25">
      <c r="A19" s="2">
        <v>117</v>
      </c>
      <c r="B19" s="1">
        <v>9</v>
      </c>
      <c r="C19" s="1" t="s">
        <v>4</v>
      </c>
      <c r="D19" s="1" t="s">
        <v>24</v>
      </c>
    </row>
    <row r="20" spans="1:4" ht="15.75" x14ac:dyDescent="0.25">
      <c r="A20" s="2">
        <v>118</v>
      </c>
      <c r="B20" s="1">
        <v>9</v>
      </c>
      <c r="C20" s="1" t="s">
        <v>6</v>
      </c>
      <c r="D20" s="1" t="s">
        <v>25</v>
      </c>
    </row>
    <row r="21" spans="1:4" ht="15.75" x14ac:dyDescent="0.25">
      <c r="A21" s="2">
        <v>119</v>
      </c>
      <c r="B21" s="1">
        <v>9</v>
      </c>
      <c r="C21" s="1" t="s">
        <v>8</v>
      </c>
      <c r="D21" s="1" t="s">
        <v>26</v>
      </c>
    </row>
    <row r="22" spans="1:4" ht="15.75" x14ac:dyDescent="0.25">
      <c r="A22" s="2">
        <v>120</v>
      </c>
      <c r="B22" s="1">
        <v>9</v>
      </c>
      <c r="C22" s="1" t="s">
        <v>10</v>
      </c>
      <c r="D22" s="1" t="s">
        <v>27</v>
      </c>
    </row>
    <row r="23" spans="1:4" ht="15.75" x14ac:dyDescent="0.25">
      <c r="A23" s="2">
        <v>121</v>
      </c>
      <c r="B23" s="1">
        <v>10</v>
      </c>
      <c r="C23" s="1" t="s">
        <v>4</v>
      </c>
      <c r="D23" s="1" t="s">
        <v>28</v>
      </c>
    </row>
    <row r="24" spans="1:4" ht="15.75" x14ac:dyDescent="0.25">
      <c r="A24" s="2">
        <v>122</v>
      </c>
      <c r="B24" s="1">
        <v>10</v>
      </c>
      <c r="C24" s="1" t="s">
        <v>6</v>
      </c>
      <c r="D24" s="1" t="s">
        <v>29</v>
      </c>
    </row>
    <row r="25" spans="1:4" ht="15.75" x14ac:dyDescent="0.25">
      <c r="A25" s="2">
        <v>123</v>
      </c>
      <c r="B25" s="1">
        <v>10</v>
      </c>
      <c r="C25" s="1" t="s">
        <v>8</v>
      </c>
      <c r="D25" s="1" t="s">
        <v>30</v>
      </c>
    </row>
    <row r="26" spans="1:4" ht="15.75" x14ac:dyDescent="0.25">
      <c r="A26" s="2">
        <v>124</v>
      </c>
      <c r="B26" s="1">
        <v>10</v>
      </c>
      <c r="C26" s="1" t="s">
        <v>10</v>
      </c>
      <c r="D26" s="1" t="s">
        <v>31</v>
      </c>
    </row>
    <row r="27" spans="1:4" ht="15.75" x14ac:dyDescent="0.25">
      <c r="A27" s="2">
        <v>125</v>
      </c>
      <c r="B27" s="1">
        <v>11</v>
      </c>
      <c r="C27" s="1" t="s">
        <v>4</v>
      </c>
      <c r="D27" s="1" t="s">
        <v>32</v>
      </c>
    </row>
    <row r="28" spans="1:4" ht="15.75" x14ac:dyDescent="0.25">
      <c r="A28" s="2">
        <v>126</v>
      </c>
      <c r="B28" s="1">
        <v>11</v>
      </c>
      <c r="C28" s="1" t="s">
        <v>6</v>
      </c>
      <c r="D28" s="1" t="s">
        <v>33</v>
      </c>
    </row>
    <row r="29" spans="1:4" ht="15.75" x14ac:dyDescent="0.25">
      <c r="A29" s="2">
        <v>127</v>
      </c>
      <c r="B29" s="1">
        <v>11</v>
      </c>
      <c r="C29" s="1" t="s">
        <v>8</v>
      </c>
      <c r="D29" s="1" t="s">
        <v>34</v>
      </c>
    </row>
    <row r="30" spans="1:4" ht="15.75" x14ac:dyDescent="0.25">
      <c r="A30" s="2">
        <v>128</v>
      </c>
      <c r="B30" s="1">
        <v>11</v>
      </c>
      <c r="C30" s="1" t="s">
        <v>10</v>
      </c>
      <c r="D30" s="1" t="s">
        <v>35</v>
      </c>
    </row>
    <row r="31" spans="1:4" ht="15.75" x14ac:dyDescent="0.25">
      <c r="A31" s="2">
        <v>129</v>
      </c>
      <c r="B31" s="1">
        <v>12</v>
      </c>
      <c r="C31" s="1" t="s">
        <v>4</v>
      </c>
      <c r="D31" s="1" t="s">
        <v>36</v>
      </c>
    </row>
    <row r="32" spans="1:4" ht="15.75" x14ac:dyDescent="0.25">
      <c r="A32" s="2">
        <v>130</v>
      </c>
      <c r="B32" s="1">
        <v>12</v>
      </c>
      <c r="C32" s="1" t="s">
        <v>6</v>
      </c>
      <c r="D32" s="1" t="s">
        <v>37</v>
      </c>
    </row>
    <row r="33" spans="1:4" ht="15.75" x14ac:dyDescent="0.25">
      <c r="A33" s="2">
        <v>131</v>
      </c>
      <c r="B33" s="1">
        <v>12</v>
      </c>
      <c r="C33" s="1" t="s">
        <v>8</v>
      </c>
      <c r="D33" s="1" t="s">
        <v>38</v>
      </c>
    </row>
    <row r="34" spans="1:4" ht="15.75" x14ac:dyDescent="0.25">
      <c r="A34" s="2">
        <v>132</v>
      </c>
      <c r="B34" s="1">
        <v>12</v>
      </c>
      <c r="C34" s="1" t="s">
        <v>10</v>
      </c>
      <c r="D34" s="1" t="s">
        <v>39</v>
      </c>
    </row>
  </sheetData>
  <mergeCells count="4">
    <mergeCell ref="B1:B2"/>
    <mergeCell ref="A1:A2"/>
    <mergeCell ref="D1:D2"/>
    <mergeCell ref="C1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"/>
  <sheetViews>
    <sheetView workbookViewId="0"/>
  </sheetViews>
  <sheetFormatPr defaultRowHeight="15" x14ac:dyDescent="0.25"/>
  <cols>
    <col min="1" max="2" width="11.85546875" customWidth="1"/>
  </cols>
  <sheetData>
    <row r="1" spans="1:2" ht="31.5" x14ac:dyDescent="0.25">
      <c r="A1" s="4" t="s">
        <v>0</v>
      </c>
      <c r="B1" s="4" t="s">
        <v>41</v>
      </c>
    </row>
    <row r="2" spans="1:2" ht="16.5" x14ac:dyDescent="0.25">
      <c r="A2" s="4">
        <v>101</v>
      </c>
      <c r="B2" s="5">
        <v>7</v>
      </c>
    </row>
    <row r="3" spans="1:2" ht="16.5" x14ac:dyDescent="0.25">
      <c r="A3" s="4">
        <v>102</v>
      </c>
      <c r="B3" s="5">
        <v>3</v>
      </c>
    </row>
    <row r="4" spans="1:2" ht="16.5" x14ac:dyDescent="0.25">
      <c r="A4" s="4">
        <v>103</v>
      </c>
      <c r="B4" s="5">
        <v>6</v>
      </c>
    </row>
    <row r="5" spans="1:2" ht="16.5" x14ac:dyDescent="0.25">
      <c r="A5" s="4">
        <v>104</v>
      </c>
      <c r="B5" s="5">
        <v>4</v>
      </c>
    </row>
    <row r="6" spans="1:2" ht="16.5" x14ac:dyDescent="0.25">
      <c r="A6" s="4">
        <v>105</v>
      </c>
      <c r="B6" s="5">
        <v>4</v>
      </c>
    </row>
    <row r="7" spans="1:2" ht="16.5" x14ac:dyDescent="0.25">
      <c r="A7" s="4">
        <v>106</v>
      </c>
      <c r="B7" s="5">
        <v>5</v>
      </c>
    </row>
    <row r="8" spans="1:2" ht="16.5" x14ac:dyDescent="0.25">
      <c r="A8" s="4">
        <v>107</v>
      </c>
      <c r="B8" s="5">
        <v>9</v>
      </c>
    </row>
    <row r="9" spans="1:2" ht="16.5" x14ac:dyDescent="0.25">
      <c r="A9" s="4">
        <v>108</v>
      </c>
      <c r="B9" s="5">
        <v>8</v>
      </c>
    </row>
    <row r="10" spans="1:2" ht="16.5" x14ac:dyDescent="0.25">
      <c r="A10" s="4">
        <v>109</v>
      </c>
      <c r="B10" s="5">
        <v>9</v>
      </c>
    </row>
    <row r="11" spans="1:2" ht="16.5" x14ac:dyDescent="0.25">
      <c r="A11" s="4">
        <v>110</v>
      </c>
      <c r="B11" s="5">
        <v>8</v>
      </c>
    </row>
    <row r="12" spans="1:2" ht="16.5" x14ac:dyDescent="0.25">
      <c r="A12" s="4">
        <v>111</v>
      </c>
      <c r="B12" s="5">
        <v>9</v>
      </c>
    </row>
    <row r="13" spans="1:2" ht="16.5" x14ac:dyDescent="0.25">
      <c r="A13" s="4">
        <v>112</v>
      </c>
      <c r="B13" s="5">
        <v>9</v>
      </c>
    </row>
    <row r="14" spans="1:2" ht="16.5" x14ac:dyDescent="0.25">
      <c r="A14" s="4">
        <v>113</v>
      </c>
      <c r="B14" s="5">
        <v>6</v>
      </c>
    </row>
    <row r="15" spans="1:2" ht="16.5" x14ac:dyDescent="0.25">
      <c r="A15" s="4">
        <v>114</v>
      </c>
      <c r="B15" s="5">
        <v>10</v>
      </c>
    </row>
    <row r="16" spans="1:2" ht="16.5" x14ac:dyDescent="0.25">
      <c r="A16" s="4">
        <v>115</v>
      </c>
      <c r="B16" s="5">
        <v>11</v>
      </c>
    </row>
    <row r="17" spans="1:2" ht="16.5" x14ac:dyDescent="0.25">
      <c r="A17" s="4">
        <v>116</v>
      </c>
      <c r="B17" s="5">
        <v>10</v>
      </c>
    </row>
    <row r="18" spans="1:2" ht="16.5" x14ac:dyDescent="0.25">
      <c r="A18" s="4">
        <v>117</v>
      </c>
      <c r="B18" s="5">
        <v>5</v>
      </c>
    </row>
    <row r="19" spans="1:2" ht="16.5" x14ac:dyDescent="0.25">
      <c r="A19" s="4">
        <v>118</v>
      </c>
      <c r="B19" s="5">
        <v>12</v>
      </c>
    </row>
    <row r="20" spans="1:2" ht="16.5" x14ac:dyDescent="0.25">
      <c r="A20" s="4">
        <v>119</v>
      </c>
      <c r="B20" s="5">
        <v>13</v>
      </c>
    </row>
    <row r="21" spans="1:2" ht="16.5" x14ac:dyDescent="0.25">
      <c r="A21" s="4">
        <v>120</v>
      </c>
      <c r="B21" s="5">
        <v>8</v>
      </c>
    </row>
    <row r="22" spans="1:2" ht="16.5" x14ac:dyDescent="0.25">
      <c r="A22" s="4">
        <v>121</v>
      </c>
      <c r="B22" s="5">
        <v>12</v>
      </c>
    </row>
    <row r="23" spans="1:2" ht="16.5" x14ac:dyDescent="0.25">
      <c r="A23" s="4">
        <v>122</v>
      </c>
      <c r="B23" s="5">
        <v>9</v>
      </c>
    </row>
    <row r="24" spans="1:2" ht="16.5" x14ac:dyDescent="0.25">
      <c r="A24" s="4">
        <v>123</v>
      </c>
      <c r="B24" s="5">
        <v>12</v>
      </c>
    </row>
    <row r="25" spans="1:2" ht="16.5" x14ac:dyDescent="0.25">
      <c r="A25" s="4">
        <v>124</v>
      </c>
      <c r="B25" s="5">
        <v>11</v>
      </c>
    </row>
    <row r="26" spans="1:2" ht="16.5" x14ac:dyDescent="0.25">
      <c r="A26" s="4">
        <v>125</v>
      </c>
      <c r="B26" s="5">
        <v>13</v>
      </c>
    </row>
    <row r="27" spans="1:2" ht="16.5" x14ac:dyDescent="0.25">
      <c r="A27" s="4">
        <v>126</v>
      </c>
      <c r="B27" s="5">
        <v>11</v>
      </c>
    </row>
    <row r="28" spans="1:2" ht="16.5" x14ac:dyDescent="0.25">
      <c r="A28" s="4">
        <v>127</v>
      </c>
      <c r="B28" s="5">
        <v>9</v>
      </c>
    </row>
    <row r="29" spans="1:2" ht="16.5" x14ac:dyDescent="0.25">
      <c r="A29" s="4">
        <v>128</v>
      </c>
      <c r="B29" s="5">
        <v>8</v>
      </c>
    </row>
    <row r="30" spans="1:2" ht="16.5" x14ac:dyDescent="0.25">
      <c r="A30" s="4">
        <v>129</v>
      </c>
      <c r="B30" s="5">
        <v>13</v>
      </c>
    </row>
    <row r="31" spans="1:2" ht="16.5" x14ac:dyDescent="0.25">
      <c r="A31" s="4">
        <v>130</v>
      </c>
      <c r="B31" s="5">
        <v>10</v>
      </c>
    </row>
    <row r="32" spans="1:2" ht="16.5" x14ac:dyDescent="0.25">
      <c r="A32" s="4">
        <v>131</v>
      </c>
      <c r="B32" s="5">
        <v>4</v>
      </c>
    </row>
    <row r="33" spans="1:2" ht="16.5" x14ac:dyDescent="0.25">
      <c r="A33" s="4">
        <v>132</v>
      </c>
      <c r="B33" s="5">
        <v>12</v>
      </c>
    </row>
    <row r="34" spans="1:2" ht="15.75" x14ac:dyDescent="0.25">
      <c r="A34" s="4" t="s">
        <v>40</v>
      </c>
      <c r="B34" s="3">
        <f>SUM(B2:B33)</f>
        <v>280</v>
      </c>
    </row>
  </sheetData>
  <sheetProtection algorithmName="SHA-512" hashValue="YUfNBHgih1hC/oXY9FXKB+7nNVGh8hXQ5lwBt1idpPB7jZkwF7W7Zm0PI6IBtwLeIHs8iIJisxE3cCLJ8+dSgw==" saltValue="V+jLvA7Amu8r2YNrAlM8a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4"/>
  <sheetViews>
    <sheetView workbookViewId="0">
      <selection activeCell="E5" sqref="E5"/>
    </sheetView>
  </sheetViews>
  <sheetFormatPr defaultRowHeight="15" x14ac:dyDescent="0.25"/>
  <cols>
    <col min="1" max="2" width="11.85546875" customWidth="1"/>
  </cols>
  <sheetData>
    <row r="1" spans="1:2" ht="31.15" customHeight="1" x14ac:dyDescent="0.25">
      <c r="A1" s="4" t="s">
        <v>0</v>
      </c>
      <c r="B1" s="4" t="s">
        <v>41</v>
      </c>
    </row>
    <row r="2" spans="1:2" ht="16.5" x14ac:dyDescent="0.25">
      <c r="A2" s="4">
        <v>101</v>
      </c>
      <c r="B2" s="5">
        <v>6</v>
      </c>
    </row>
    <row r="3" spans="1:2" ht="16.5" x14ac:dyDescent="0.25">
      <c r="A3" s="4">
        <v>102</v>
      </c>
      <c r="B3" s="5">
        <v>5</v>
      </c>
    </row>
    <row r="4" spans="1:2" ht="16.5" x14ac:dyDescent="0.25">
      <c r="A4" s="4">
        <v>103</v>
      </c>
      <c r="B4" s="5">
        <v>7</v>
      </c>
    </row>
    <row r="5" spans="1:2" ht="16.5" x14ac:dyDescent="0.25">
      <c r="A5" s="4">
        <v>104</v>
      </c>
      <c r="B5" s="5">
        <v>8</v>
      </c>
    </row>
    <row r="6" spans="1:2" ht="16.5" x14ac:dyDescent="0.25">
      <c r="A6" s="4">
        <v>105</v>
      </c>
      <c r="B6" s="5">
        <v>9</v>
      </c>
    </row>
    <row r="7" spans="1:2" ht="16.5" x14ac:dyDescent="0.25">
      <c r="A7" s="4">
        <v>106</v>
      </c>
      <c r="B7" s="5">
        <v>8</v>
      </c>
    </row>
    <row r="8" spans="1:2" ht="16.5" x14ac:dyDescent="0.25">
      <c r="A8" s="4">
        <v>107</v>
      </c>
      <c r="B8" s="5">
        <v>7</v>
      </c>
    </row>
    <row r="9" spans="1:2" ht="16.5" x14ac:dyDescent="0.25">
      <c r="A9" s="4">
        <v>108</v>
      </c>
      <c r="B9" s="5">
        <v>9</v>
      </c>
    </row>
    <row r="10" spans="1:2" ht="16.5" x14ac:dyDescent="0.25">
      <c r="A10" s="4">
        <v>109</v>
      </c>
      <c r="B10" s="5">
        <v>6</v>
      </c>
    </row>
    <row r="11" spans="1:2" ht="16.5" x14ac:dyDescent="0.25">
      <c r="A11" s="4">
        <v>110</v>
      </c>
      <c r="B11" s="5">
        <v>9</v>
      </c>
    </row>
    <row r="12" spans="1:2" ht="16.5" x14ac:dyDescent="0.25">
      <c r="A12" s="4">
        <v>111</v>
      </c>
      <c r="B12" s="5">
        <v>10</v>
      </c>
    </row>
    <row r="13" spans="1:2" ht="16.5" x14ac:dyDescent="0.25">
      <c r="A13" s="4">
        <v>112</v>
      </c>
      <c r="B13" s="5">
        <v>14</v>
      </c>
    </row>
    <row r="14" spans="1:2" ht="16.5" x14ac:dyDescent="0.25">
      <c r="A14" s="4">
        <v>113</v>
      </c>
      <c r="B14" s="5">
        <v>9</v>
      </c>
    </row>
    <row r="15" spans="1:2" ht="16.5" x14ac:dyDescent="0.25">
      <c r="A15" s="4">
        <v>114</v>
      </c>
      <c r="B15" s="5">
        <v>6</v>
      </c>
    </row>
    <row r="16" spans="1:2" ht="16.5" x14ac:dyDescent="0.25">
      <c r="A16" s="4">
        <v>115</v>
      </c>
      <c r="B16" s="5">
        <v>10</v>
      </c>
    </row>
    <row r="17" spans="1:2" ht="16.5" x14ac:dyDescent="0.25">
      <c r="A17" s="4">
        <v>116</v>
      </c>
      <c r="B17" s="5">
        <v>11</v>
      </c>
    </row>
    <row r="18" spans="1:2" ht="16.5" x14ac:dyDescent="0.25">
      <c r="A18" s="4">
        <v>117</v>
      </c>
      <c r="B18" s="5">
        <v>10</v>
      </c>
    </row>
    <row r="19" spans="1:2" ht="16.5" x14ac:dyDescent="0.25">
      <c r="A19" s="4">
        <v>118</v>
      </c>
      <c r="B19" s="5">
        <v>9</v>
      </c>
    </row>
    <row r="20" spans="1:2" ht="16.5" x14ac:dyDescent="0.25">
      <c r="A20" s="4">
        <v>119</v>
      </c>
      <c r="B20" s="5">
        <v>10</v>
      </c>
    </row>
    <row r="21" spans="1:2" ht="16.5" x14ac:dyDescent="0.25">
      <c r="A21" s="4">
        <v>120</v>
      </c>
      <c r="B21" s="5">
        <v>11</v>
      </c>
    </row>
    <row r="22" spans="1:2" ht="16.5" x14ac:dyDescent="0.25">
      <c r="A22" s="4">
        <v>121</v>
      </c>
      <c r="B22" s="5">
        <v>8</v>
      </c>
    </row>
    <row r="23" spans="1:2" ht="16.5" x14ac:dyDescent="0.25">
      <c r="A23" s="4">
        <v>122</v>
      </c>
      <c r="B23" s="5">
        <v>12</v>
      </c>
    </row>
    <row r="24" spans="1:2" ht="16.5" x14ac:dyDescent="0.25">
      <c r="A24" s="4">
        <v>123</v>
      </c>
      <c r="B24" s="5">
        <v>9</v>
      </c>
    </row>
    <row r="25" spans="1:2" ht="16.5" x14ac:dyDescent="0.25">
      <c r="A25" s="4">
        <v>124</v>
      </c>
      <c r="B25" s="5">
        <v>12</v>
      </c>
    </row>
    <row r="26" spans="1:2" ht="16.5" x14ac:dyDescent="0.25">
      <c r="A26" s="4">
        <v>125</v>
      </c>
      <c r="B26" s="5">
        <v>7</v>
      </c>
    </row>
    <row r="27" spans="1:2" ht="16.5" x14ac:dyDescent="0.25">
      <c r="A27" s="4">
        <v>126</v>
      </c>
      <c r="B27" s="5">
        <v>3</v>
      </c>
    </row>
    <row r="28" spans="1:2" ht="16.5" x14ac:dyDescent="0.25">
      <c r="A28" s="4">
        <v>127</v>
      </c>
      <c r="B28" s="5">
        <v>6</v>
      </c>
    </row>
    <row r="29" spans="1:2" ht="16.5" x14ac:dyDescent="0.25">
      <c r="A29" s="4">
        <v>128</v>
      </c>
      <c r="B29" s="5">
        <v>4</v>
      </c>
    </row>
    <row r="30" spans="1:2" ht="16.5" x14ac:dyDescent="0.25">
      <c r="A30" s="4">
        <v>129</v>
      </c>
      <c r="B30" s="5">
        <v>6</v>
      </c>
    </row>
    <row r="31" spans="1:2" ht="16.5" x14ac:dyDescent="0.25">
      <c r="A31" s="4">
        <v>130</v>
      </c>
      <c r="B31" s="5">
        <v>10</v>
      </c>
    </row>
    <row r="32" spans="1:2" ht="16.5" x14ac:dyDescent="0.25">
      <c r="A32" s="4">
        <v>131</v>
      </c>
      <c r="B32" s="5">
        <v>14</v>
      </c>
    </row>
    <row r="33" spans="1:2" ht="16.5" x14ac:dyDescent="0.25">
      <c r="A33" s="4">
        <v>132</v>
      </c>
      <c r="B33" s="5">
        <v>12</v>
      </c>
    </row>
    <row r="34" spans="1:2" ht="15.75" x14ac:dyDescent="0.25">
      <c r="A34" s="4" t="s">
        <v>40</v>
      </c>
      <c r="B34" s="3">
        <f>SUM(B2:B33)</f>
        <v>277</v>
      </c>
    </row>
  </sheetData>
  <sheetProtection algorithmName="SHA-512" hashValue="hYt1s9vRM9LteMHL7Y9ADHfXw2rZkrOs/kKSWkrY+/WG82o79QSc3ZOHWeh4y9xUF31JhDJMv9LkgM1XDn0aOA==" saltValue="u0fiT/Zo2krkD0SfFUZUcA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4"/>
  <sheetViews>
    <sheetView workbookViewId="0">
      <selection activeCell="E6" sqref="E6"/>
    </sheetView>
  </sheetViews>
  <sheetFormatPr defaultRowHeight="15" x14ac:dyDescent="0.25"/>
  <cols>
    <col min="1" max="2" width="11.85546875" customWidth="1"/>
  </cols>
  <sheetData>
    <row r="1" spans="1:2" ht="31.5" x14ac:dyDescent="0.25">
      <c r="A1" s="4" t="s">
        <v>0</v>
      </c>
      <c r="B1" s="4" t="s">
        <v>41</v>
      </c>
    </row>
    <row r="2" spans="1:2" ht="16.5" x14ac:dyDescent="0.25">
      <c r="A2" s="4">
        <v>101</v>
      </c>
      <c r="B2" s="5">
        <v>9</v>
      </c>
    </row>
    <row r="3" spans="1:2" ht="16.5" x14ac:dyDescent="0.25">
      <c r="A3" s="4">
        <v>102</v>
      </c>
      <c r="B3" s="5">
        <v>8</v>
      </c>
    </row>
    <row r="4" spans="1:2" ht="16.5" x14ac:dyDescent="0.25">
      <c r="A4" s="4">
        <v>103</v>
      </c>
      <c r="B4" s="5">
        <v>7</v>
      </c>
    </row>
    <row r="5" spans="1:2" ht="16.5" x14ac:dyDescent="0.25">
      <c r="A5" s="4">
        <v>104</v>
      </c>
      <c r="B5" s="5">
        <v>3</v>
      </c>
    </row>
    <row r="6" spans="1:2" ht="16.5" x14ac:dyDescent="0.25">
      <c r="A6" s="4">
        <v>105</v>
      </c>
      <c r="B6" s="5">
        <v>6</v>
      </c>
    </row>
    <row r="7" spans="1:2" ht="16.5" x14ac:dyDescent="0.25">
      <c r="A7" s="4">
        <v>106</v>
      </c>
      <c r="B7" s="5">
        <v>4</v>
      </c>
    </row>
    <row r="8" spans="1:2" ht="16.5" x14ac:dyDescent="0.25">
      <c r="A8" s="4">
        <v>107</v>
      </c>
      <c r="B8" s="5">
        <v>6</v>
      </c>
    </row>
    <row r="9" spans="1:2" ht="16.5" x14ac:dyDescent="0.25">
      <c r="A9" s="4">
        <v>108</v>
      </c>
      <c r="B9" s="5">
        <v>9</v>
      </c>
    </row>
    <row r="10" spans="1:2" ht="16.5" x14ac:dyDescent="0.25">
      <c r="A10" s="4">
        <v>109</v>
      </c>
      <c r="B10" s="5">
        <v>8</v>
      </c>
    </row>
    <row r="11" spans="1:2" ht="16.5" x14ac:dyDescent="0.25">
      <c r="A11" s="4">
        <v>110</v>
      </c>
      <c r="B11" s="5">
        <v>8</v>
      </c>
    </row>
    <row r="12" spans="1:2" ht="16.5" x14ac:dyDescent="0.25">
      <c r="A12" s="4">
        <v>111</v>
      </c>
      <c r="B12" s="5">
        <v>9</v>
      </c>
    </row>
    <row r="13" spans="1:2" ht="16.5" x14ac:dyDescent="0.25">
      <c r="A13" s="4">
        <v>112</v>
      </c>
      <c r="B13" s="5">
        <v>6</v>
      </c>
    </row>
    <row r="14" spans="1:2" ht="16.5" x14ac:dyDescent="0.25">
      <c r="A14" s="4">
        <v>113</v>
      </c>
      <c r="B14" s="5">
        <v>7</v>
      </c>
    </row>
    <row r="15" spans="1:2" ht="16.5" x14ac:dyDescent="0.25">
      <c r="A15" s="4">
        <v>114</v>
      </c>
      <c r="B15" s="5">
        <v>11</v>
      </c>
    </row>
    <row r="16" spans="1:2" ht="16.5" x14ac:dyDescent="0.25">
      <c r="A16" s="4">
        <v>115</v>
      </c>
      <c r="B16" s="5">
        <v>7</v>
      </c>
    </row>
    <row r="17" spans="1:2" ht="16.5" x14ac:dyDescent="0.25">
      <c r="A17" s="4">
        <v>116</v>
      </c>
      <c r="B17" s="5">
        <v>5</v>
      </c>
    </row>
    <row r="18" spans="1:2" ht="16.5" x14ac:dyDescent="0.25">
      <c r="A18" s="4">
        <v>117</v>
      </c>
      <c r="B18" s="5">
        <v>10</v>
      </c>
    </row>
    <row r="19" spans="1:2" ht="16.5" x14ac:dyDescent="0.25">
      <c r="A19" s="4">
        <v>118</v>
      </c>
      <c r="B19" s="5">
        <v>11</v>
      </c>
    </row>
    <row r="20" spans="1:2" ht="16.5" x14ac:dyDescent="0.25">
      <c r="A20" s="4">
        <v>119</v>
      </c>
      <c r="B20" s="5">
        <v>3</v>
      </c>
    </row>
    <row r="21" spans="1:2" ht="16.5" x14ac:dyDescent="0.25">
      <c r="A21" s="4">
        <v>120</v>
      </c>
      <c r="B21" s="5">
        <v>12</v>
      </c>
    </row>
    <row r="22" spans="1:2" ht="16.5" x14ac:dyDescent="0.25">
      <c r="A22" s="4">
        <v>121</v>
      </c>
      <c r="B22" s="5">
        <v>9</v>
      </c>
    </row>
    <row r="23" spans="1:2" ht="16.5" x14ac:dyDescent="0.25">
      <c r="A23" s="4">
        <v>122</v>
      </c>
      <c r="B23" s="5">
        <v>5</v>
      </c>
    </row>
    <row r="24" spans="1:2" ht="16.5" x14ac:dyDescent="0.25">
      <c r="A24" s="4">
        <v>123</v>
      </c>
      <c r="B24" s="5">
        <v>10</v>
      </c>
    </row>
    <row r="25" spans="1:2" ht="16.5" x14ac:dyDescent="0.25">
      <c r="A25" s="4">
        <v>124</v>
      </c>
      <c r="B25" s="5">
        <v>9</v>
      </c>
    </row>
    <row r="26" spans="1:2" ht="16.5" x14ac:dyDescent="0.25">
      <c r="A26" s="4">
        <v>125</v>
      </c>
      <c r="B26" s="5">
        <v>8</v>
      </c>
    </row>
    <row r="27" spans="1:2" ht="16.5" x14ac:dyDescent="0.25">
      <c r="A27" s="4">
        <v>126</v>
      </c>
      <c r="B27" s="5">
        <v>12</v>
      </c>
    </row>
    <row r="28" spans="1:2" ht="16.5" x14ac:dyDescent="0.25">
      <c r="A28" s="4">
        <v>127</v>
      </c>
      <c r="B28" s="5">
        <v>9</v>
      </c>
    </row>
    <row r="29" spans="1:2" ht="16.5" x14ac:dyDescent="0.25">
      <c r="A29" s="4">
        <v>128</v>
      </c>
      <c r="B29" s="5">
        <v>12</v>
      </c>
    </row>
    <row r="30" spans="1:2" ht="16.5" x14ac:dyDescent="0.25">
      <c r="A30" s="4">
        <v>129</v>
      </c>
      <c r="B30" s="5">
        <v>14</v>
      </c>
    </row>
    <row r="31" spans="1:2" ht="16.5" x14ac:dyDescent="0.25">
      <c r="A31" s="4">
        <v>130</v>
      </c>
      <c r="B31" s="5">
        <v>11</v>
      </c>
    </row>
    <row r="32" spans="1:2" ht="16.5" x14ac:dyDescent="0.25">
      <c r="A32" s="4">
        <v>131</v>
      </c>
      <c r="B32" s="5">
        <v>10</v>
      </c>
    </row>
    <row r="33" spans="1:2" ht="16.5" x14ac:dyDescent="0.25">
      <c r="A33" s="4">
        <v>132</v>
      </c>
      <c r="B33" s="5">
        <v>10</v>
      </c>
    </row>
    <row r="34" spans="1:2" ht="15.75" x14ac:dyDescent="0.25">
      <c r="A34" s="4" t="s">
        <v>40</v>
      </c>
      <c r="B34" s="3">
        <f>SUM(B2:B33)</f>
        <v>268</v>
      </c>
    </row>
  </sheetData>
  <sheetProtection algorithmName="SHA-512" hashValue="R9FPfWYkKygjSUobdUtrPBN6QuOW62AATgHl8hPYeWIlO61ZLkHuUnqVf2dQXK+b4U//rWTdaDrZTgIv/UTPaw==" saltValue="37+NnNYjtLr8iXEB9P5V3g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BB0BE-FBB5-4030-8060-1C8508CF5382}">
  <dimension ref="A1:N34"/>
  <sheetViews>
    <sheetView tabSelected="1" workbookViewId="0">
      <selection activeCell="E2" sqref="E2"/>
    </sheetView>
  </sheetViews>
  <sheetFormatPr defaultRowHeight="15" x14ac:dyDescent="0.25"/>
  <cols>
    <col min="1" max="1" width="17.140625" customWidth="1"/>
    <col min="3" max="3" width="13" customWidth="1"/>
    <col min="4" max="4" width="19.140625" customWidth="1"/>
    <col min="5" max="7" width="9.7109375" customWidth="1"/>
    <col min="13" max="13" width="16.85546875" customWidth="1"/>
  </cols>
  <sheetData>
    <row r="1" spans="1:14" x14ac:dyDescent="0.25">
      <c r="A1" s="25" t="s">
        <v>0</v>
      </c>
      <c r="B1" s="26" t="s">
        <v>1</v>
      </c>
      <c r="C1" s="26" t="s">
        <v>2</v>
      </c>
      <c r="D1" s="26" t="s">
        <v>3</v>
      </c>
      <c r="E1" s="21" t="s">
        <v>42</v>
      </c>
      <c r="F1" s="21" t="s">
        <v>43</v>
      </c>
      <c r="G1" s="21" t="s">
        <v>44</v>
      </c>
      <c r="H1" s="22" t="s">
        <v>45</v>
      </c>
      <c r="M1" s="1" t="s">
        <v>3</v>
      </c>
      <c r="N1" s="1" t="s">
        <v>1</v>
      </c>
    </row>
    <row r="2" spans="1:14" ht="15.75" x14ac:dyDescent="0.25">
      <c r="A2" s="27">
        <v>101</v>
      </c>
      <c r="B2" s="28">
        <f>VLOOKUP(A2,Кандидати!A1:D34,2,0)</f>
        <v>5</v>
      </c>
      <c r="C2" s="28" t="str">
        <f>VLOOKUP(A2,Кандидати!A1:D34,3,0)</f>
        <v>а</v>
      </c>
      <c r="D2" s="28" t="str">
        <f>VLOOKUP(A2,Кандидати!A1:D34,4,0)</f>
        <v>Стефан Петров</v>
      </c>
      <c r="E2" s="1">
        <f>VLOOKUP(A2,Кутия1!A1:B33,2,0)</f>
        <v>7</v>
      </c>
      <c r="F2" s="1">
        <f>VLOOKUP(A2,Кутия2!A1:B33,2,0)</f>
        <v>6</v>
      </c>
      <c r="G2" s="1">
        <f>VLOOKUP(A2,Кутия3!A1:B33,2,0)</f>
        <v>9</v>
      </c>
      <c r="H2" s="20">
        <f>E2+F2+G2</f>
        <v>22</v>
      </c>
      <c r="M2" s="1"/>
      <c r="N2" s="1"/>
    </row>
    <row r="3" spans="1:14" ht="15.75" x14ac:dyDescent="0.25">
      <c r="A3" s="27">
        <v>102</v>
      </c>
      <c r="B3" s="28">
        <f>VLOOKUP(A3,Кандидати!A2:D35,2,0)</f>
        <v>5</v>
      </c>
      <c r="C3" s="28" t="str">
        <f>VLOOKUP(A3,Кандидати!A2:D35,3,0)</f>
        <v>б</v>
      </c>
      <c r="D3" s="28" t="str">
        <f>VLOOKUP(A3,Кандидати!A2:D35,4,0)</f>
        <v>Елена Иванова</v>
      </c>
      <c r="E3" s="1">
        <f>VLOOKUP(A3,Кутия1!A2:B34,2,0)</f>
        <v>3</v>
      </c>
      <c r="F3" s="1">
        <f>VLOOKUP(A3,Кутия2!A2:B34,2,0)</f>
        <v>5</v>
      </c>
      <c r="G3" s="1">
        <f>VLOOKUP(A3,Кутия3!A2:B34,2,0)</f>
        <v>8</v>
      </c>
      <c r="H3" s="20">
        <f t="shared" ref="H3:H33" si="0">E3+F3+G3</f>
        <v>16</v>
      </c>
      <c r="M3" s="1"/>
      <c r="N3" s="1"/>
    </row>
    <row r="4" spans="1:14" ht="15.75" x14ac:dyDescent="0.25">
      <c r="A4" s="27">
        <v>103</v>
      </c>
      <c r="B4" s="28">
        <f>VLOOKUP(A4,Кандидати!A3:D36,2,0)</f>
        <v>5</v>
      </c>
      <c r="C4" s="28" t="str">
        <f>VLOOKUP(A4,Кандидати!A3:D36,3,0)</f>
        <v>в</v>
      </c>
      <c r="D4" s="28" t="str">
        <f>VLOOKUP(A4,Кандидати!A3:D36,4,0)</f>
        <v>Иван Димитров</v>
      </c>
      <c r="E4" s="1">
        <f>VLOOKUP(A4,Кутия1!A3:B35,2,0)</f>
        <v>6</v>
      </c>
      <c r="F4" s="1">
        <f>VLOOKUP(A4,Кутия2!A3:B35,2,0)</f>
        <v>7</v>
      </c>
      <c r="G4" s="1">
        <f>VLOOKUP(A4,Кутия3!A3:B35,2,0)</f>
        <v>7</v>
      </c>
      <c r="H4" s="20">
        <f t="shared" si="0"/>
        <v>20</v>
      </c>
      <c r="M4" s="1"/>
      <c r="N4" s="1"/>
    </row>
    <row r="5" spans="1:14" ht="15.75" x14ac:dyDescent="0.25">
      <c r="A5" s="27">
        <v>104</v>
      </c>
      <c r="B5" s="28">
        <f>VLOOKUP(A5,Кандидати!A4:D37,2,0)</f>
        <v>5</v>
      </c>
      <c r="C5" s="28" t="str">
        <f>VLOOKUP(A5,Кандидати!A4:D37,3,0)</f>
        <v>г</v>
      </c>
      <c r="D5" s="28" t="str">
        <f>VLOOKUP(A5,Кандидати!A4:D37,4,0)</f>
        <v>Мария Попова</v>
      </c>
      <c r="E5" s="1">
        <f>VLOOKUP(A5,Кутия1!A4:B36,2,0)</f>
        <v>4</v>
      </c>
      <c r="F5" s="1">
        <f>VLOOKUP(A5,Кутия2!A4:B36,2,0)</f>
        <v>8</v>
      </c>
      <c r="G5" s="1">
        <f>VLOOKUP(A5,Кутия3!A4:B36,2,0)</f>
        <v>3</v>
      </c>
      <c r="H5" s="20">
        <f t="shared" si="0"/>
        <v>15</v>
      </c>
      <c r="M5" s="1"/>
      <c r="N5" s="1"/>
    </row>
    <row r="6" spans="1:14" ht="15.75" x14ac:dyDescent="0.25">
      <c r="A6" s="27">
        <v>105</v>
      </c>
      <c r="B6" s="28">
        <f>VLOOKUP(A6,Кандидати!A5:D38,2,0)</f>
        <v>6</v>
      </c>
      <c r="C6" s="28" t="str">
        <f>VLOOKUP(A6,Кандидати!A5:D38,3,0)</f>
        <v>а</v>
      </c>
      <c r="D6" s="28" t="str">
        <f>VLOOKUP(A6,Кандидати!A5:D38,4,0)</f>
        <v>Димитър Георгиев</v>
      </c>
      <c r="E6" s="1">
        <f>VLOOKUP(A6,Кутия1!A5:B37,2,0)</f>
        <v>4</v>
      </c>
      <c r="F6" s="1">
        <f>VLOOKUP(A6,Кутия2!A5:B37,2,0)</f>
        <v>9</v>
      </c>
      <c r="G6" s="1">
        <f>VLOOKUP(A6,Кутия3!A5:B37,2,0)</f>
        <v>6</v>
      </c>
      <c r="H6" s="20">
        <f t="shared" si="0"/>
        <v>19</v>
      </c>
      <c r="M6" s="1"/>
      <c r="N6" s="1"/>
    </row>
    <row r="7" spans="1:14" ht="15.75" x14ac:dyDescent="0.25">
      <c r="A7" s="27">
        <v>106</v>
      </c>
      <c r="B7" s="28">
        <f>VLOOKUP(A7,Кандидати!A6:D39,2,0)</f>
        <v>6</v>
      </c>
      <c r="C7" s="28" t="str">
        <f>VLOOKUP(A7,Кандидати!A6:D39,3,0)</f>
        <v>б</v>
      </c>
      <c r="D7" s="28" t="str">
        <f>VLOOKUP(A7,Кандидати!A6:D39,4,0)</f>
        <v>Ана Василева</v>
      </c>
      <c r="E7" s="1">
        <f>VLOOKUP(A7,Кутия1!A6:B38,2,0)</f>
        <v>5</v>
      </c>
      <c r="F7" s="1">
        <f>VLOOKUP(A7,Кутия2!A6:B38,2,0)</f>
        <v>8</v>
      </c>
      <c r="G7" s="1">
        <f>VLOOKUP(A7,Кутия3!A6:B38,2,0)</f>
        <v>4</v>
      </c>
      <c r="H7" s="20">
        <f t="shared" si="0"/>
        <v>17</v>
      </c>
      <c r="M7" s="1"/>
      <c r="N7" s="1"/>
    </row>
    <row r="8" spans="1:14" ht="15.75" x14ac:dyDescent="0.25">
      <c r="A8" s="27">
        <v>107</v>
      </c>
      <c r="B8" s="28">
        <f>VLOOKUP(A8,Кандидати!A7:D40,2,0)</f>
        <v>6</v>
      </c>
      <c r="C8" s="28" t="str">
        <f>VLOOKUP(A8,Кандидати!A7:D40,3,0)</f>
        <v>в</v>
      </c>
      <c r="D8" s="28" t="str">
        <f>VLOOKUP(A8,Кандидати!A7:D40,4,0)</f>
        <v>Георги Костов</v>
      </c>
      <c r="E8" s="1">
        <f>VLOOKUP(A8,Кутия1!A7:B39,2,0)</f>
        <v>9</v>
      </c>
      <c r="F8" s="1">
        <f>VLOOKUP(A8,Кутия2!A7:B39,2,0)</f>
        <v>7</v>
      </c>
      <c r="G8" s="1">
        <f>VLOOKUP(A8,Кутия3!A7:B39,2,0)</f>
        <v>6</v>
      </c>
      <c r="H8" s="20">
        <f t="shared" si="0"/>
        <v>22</v>
      </c>
      <c r="M8" s="1"/>
      <c r="N8" s="1"/>
    </row>
    <row r="9" spans="1:14" ht="15.75" x14ac:dyDescent="0.25">
      <c r="A9" s="27">
        <v>108</v>
      </c>
      <c r="B9" s="28">
        <f>VLOOKUP(A9,Кандидати!A8:D41,2,0)</f>
        <v>6</v>
      </c>
      <c r="C9" s="28" t="str">
        <f>VLOOKUP(A9,Кандидати!A8:D41,3,0)</f>
        <v>г</v>
      </c>
      <c r="D9" s="28" t="str">
        <f>VLOOKUP(A9,Кандидати!A8:D41,4,0)</f>
        <v>Катерина Ангелова</v>
      </c>
      <c r="E9" s="1">
        <f>VLOOKUP(A9,Кутия1!A8:B40,2,0)</f>
        <v>8</v>
      </c>
      <c r="F9" s="1">
        <f>VLOOKUP(A9,Кутия2!A8:B40,2,0)</f>
        <v>9</v>
      </c>
      <c r="G9" s="1">
        <f>VLOOKUP(A9,Кутия3!A8:B40,2,0)</f>
        <v>9</v>
      </c>
      <c r="H9" s="20">
        <f t="shared" si="0"/>
        <v>26</v>
      </c>
      <c r="M9" s="1"/>
      <c r="N9" s="1"/>
    </row>
    <row r="10" spans="1:14" ht="15.75" x14ac:dyDescent="0.25">
      <c r="A10" s="27">
        <v>109</v>
      </c>
      <c r="B10" s="28">
        <f>VLOOKUP(A10,Кандидати!A9:D42,2,0)</f>
        <v>7</v>
      </c>
      <c r="C10" s="28" t="str">
        <f>VLOOKUP(A10,Кандидати!A9:D42,3,0)</f>
        <v>а</v>
      </c>
      <c r="D10" s="28" t="str">
        <f>VLOOKUP(A10,Кандидати!A9:D42,4,0)</f>
        <v>Николай Стефанов</v>
      </c>
      <c r="E10" s="1">
        <f>VLOOKUP(A10,Кутия1!A9:B41,2,0)</f>
        <v>9</v>
      </c>
      <c r="F10" s="1">
        <f>VLOOKUP(A10,Кутия2!A9:B41,2,0)</f>
        <v>6</v>
      </c>
      <c r="G10" s="1">
        <f>VLOOKUP(A10,Кутия3!A9:B41,2,0)</f>
        <v>8</v>
      </c>
      <c r="H10" s="20">
        <f t="shared" si="0"/>
        <v>23</v>
      </c>
      <c r="M10" s="1"/>
      <c r="N10" s="1"/>
    </row>
    <row r="11" spans="1:14" ht="15.75" x14ac:dyDescent="0.25">
      <c r="A11" s="27">
        <v>110</v>
      </c>
      <c r="B11" s="28">
        <f>VLOOKUP(A11,Кандидати!A10:D43,2,0)</f>
        <v>7</v>
      </c>
      <c r="C11" s="28" t="str">
        <f>VLOOKUP(A11,Кандидати!A10:D43,3,0)</f>
        <v>б</v>
      </c>
      <c r="D11" s="28" t="str">
        <f>VLOOKUP(A11,Кандидати!A10:D43,4,0)</f>
        <v>Адриана Петрова</v>
      </c>
      <c r="E11" s="1">
        <f>VLOOKUP(A11,Кутия1!A10:B42,2,0)</f>
        <v>8</v>
      </c>
      <c r="F11" s="1">
        <f>VLOOKUP(A11,Кутия2!A10:B42,2,0)</f>
        <v>9</v>
      </c>
      <c r="G11" s="1">
        <f>VLOOKUP(A11,Кутия3!A10:B42,2,0)</f>
        <v>8</v>
      </c>
      <c r="H11" s="20">
        <f t="shared" si="0"/>
        <v>25</v>
      </c>
      <c r="M11" s="1"/>
      <c r="N11" s="1"/>
    </row>
    <row r="12" spans="1:14" ht="15.75" x14ac:dyDescent="0.25">
      <c r="A12" s="27">
        <v>111</v>
      </c>
      <c r="B12" s="28">
        <f>VLOOKUP(A12,Кандидати!A11:D44,2,0)</f>
        <v>7</v>
      </c>
      <c r="C12" s="28" t="str">
        <f>VLOOKUP(A12,Кандидати!A11:D44,3,0)</f>
        <v>в</v>
      </c>
      <c r="D12" s="28" t="str">
        <f>VLOOKUP(A12,Кандидати!A11:D44,4,0)</f>
        <v>Иван Иванов</v>
      </c>
      <c r="E12" s="1">
        <f>VLOOKUP(A12,Кутия1!A11:B43,2,0)</f>
        <v>9</v>
      </c>
      <c r="F12" s="1">
        <f>VLOOKUP(A12,Кутия2!A11:B43,2,0)</f>
        <v>10</v>
      </c>
      <c r="G12" s="1">
        <f>VLOOKUP(A12,Кутия3!A11:B43,2,0)</f>
        <v>9</v>
      </c>
      <c r="H12" s="20">
        <f t="shared" si="0"/>
        <v>28</v>
      </c>
    </row>
    <row r="13" spans="1:14" ht="15.75" x14ac:dyDescent="0.25">
      <c r="A13" s="27">
        <v>112</v>
      </c>
      <c r="B13" s="28">
        <f>VLOOKUP(A13,Кандидати!A12:D45,2,0)</f>
        <v>7</v>
      </c>
      <c r="C13" s="28" t="str">
        <f>VLOOKUP(A13,Кандидати!A12:D45,3,0)</f>
        <v>г</v>
      </c>
      <c r="D13" s="28" t="str">
        <f>VLOOKUP(A13,Кандидати!A12:D45,4,0)</f>
        <v>Мария Кирова</v>
      </c>
      <c r="E13" s="1">
        <f>VLOOKUP(A13,Кутия1!A12:B44,2,0)</f>
        <v>9</v>
      </c>
      <c r="F13" s="1">
        <f>VLOOKUP(A13,Кутия2!A12:B44,2,0)</f>
        <v>14</v>
      </c>
      <c r="G13" s="1">
        <f>VLOOKUP(A13,Кутия3!A12:B44,2,0)</f>
        <v>6</v>
      </c>
      <c r="H13" s="20">
        <f t="shared" si="0"/>
        <v>29</v>
      </c>
    </row>
    <row r="14" spans="1:14" ht="15.75" x14ac:dyDescent="0.25">
      <c r="A14" s="27">
        <v>113</v>
      </c>
      <c r="B14" s="28">
        <f>VLOOKUP(A14,Кандидати!A13:D46,2,0)</f>
        <v>8</v>
      </c>
      <c r="C14" s="28" t="str">
        <f>VLOOKUP(A14,Кандидати!A13:D46,3,0)</f>
        <v>а</v>
      </c>
      <c r="D14" s="28" t="str">
        <f>VLOOKUP(A14,Кандидати!A13:D46,4,0)</f>
        <v>Димитър Великов</v>
      </c>
      <c r="E14" s="1">
        <f>VLOOKUP(A14,Кутия1!A13:B45,2,0)</f>
        <v>6</v>
      </c>
      <c r="F14" s="1">
        <f>VLOOKUP(A14,Кутия2!A13:B45,2,0)</f>
        <v>9</v>
      </c>
      <c r="G14" s="1">
        <f>VLOOKUP(A14,Кутия3!A13:B45,2,0)</f>
        <v>7</v>
      </c>
      <c r="H14" s="20">
        <f t="shared" si="0"/>
        <v>22</v>
      </c>
    </row>
    <row r="15" spans="1:14" ht="15.75" x14ac:dyDescent="0.25">
      <c r="A15" s="27">
        <v>114</v>
      </c>
      <c r="B15" s="28">
        <f>VLOOKUP(A15,Кандидати!A14:D47,2,0)</f>
        <v>8</v>
      </c>
      <c r="C15" s="28" t="str">
        <f>VLOOKUP(A15,Кандидати!A14:D47,3,0)</f>
        <v>б</v>
      </c>
      <c r="D15" s="28" t="str">
        <f>VLOOKUP(A15,Кандидати!A14:D47,4,0)</f>
        <v>Тодор Йорданов</v>
      </c>
      <c r="E15" s="1">
        <f>VLOOKUP(A15,Кутия1!A14:B46,2,0)</f>
        <v>10</v>
      </c>
      <c r="F15" s="1">
        <f>VLOOKUP(A15,Кутия2!A14:B46,2,0)</f>
        <v>6</v>
      </c>
      <c r="G15" s="1">
        <f>VLOOKUP(A15,Кутия3!A14:B46,2,0)</f>
        <v>11</v>
      </c>
      <c r="H15" s="20">
        <f t="shared" si="0"/>
        <v>27</v>
      </c>
    </row>
    <row r="16" spans="1:14" ht="15.75" x14ac:dyDescent="0.25">
      <c r="A16" s="27">
        <v>115</v>
      </c>
      <c r="B16" s="28">
        <f>VLOOKUP(A16,Кандидати!A15:D48,2,0)</f>
        <v>8</v>
      </c>
      <c r="C16" s="28" t="str">
        <f>VLOOKUP(A16,Кандидати!A15:D48,3,0)</f>
        <v>в</v>
      </c>
      <c r="D16" s="28" t="str">
        <f>VLOOKUP(A16,Кандидати!A15:D48,4,0)</f>
        <v>Милена Петрова</v>
      </c>
      <c r="E16" s="1">
        <f>VLOOKUP(A16,Кутия1!A15:B47,2,0)</f>
        <v>11</v>
      </c>
      <c r="F16" s="1">
        <f>VLOOKUP(A16,Кутия2!A15:B47,2,0)</f>
        <v>10</v>
      </c>
      <c r="G16" s="1">
        <f>VLOOKUP(A16,Кутия3!A15:B47,2,0)</f>
        <v>7</v>
      </c>
      <c r="H16" s="20">
        <f t="shared" si="0"/>
        <v>28</v>
      </c>
    </row>
    <row r="17" spans="1:8" ht="15.75" x14ac:dyDescent="0.25">
      <c r="A17" s="27">
        <v>116</v>
      </c>
      <c r="B17" s="28">
        <f>VLOOKUP(A17,Кандидати!A16:D49,2,0)</f>
        <v>8</v>
      </c>
      <c r="C17" s="28" t="str">
        <f>VLOOKUP(A17,Кандидати!A16:D49,3,0)</f>
        <v>г</v>
      </c>
      <c r="D17" s="28" t="str">
        <f>VLOOKUP(A17,Кандидати!A16:D49,4,0)</f>
        <v>Христо Маринов</v>
      </c>
      <c r="E17" s="1">
        <f>VLOOKUP(A17,Кутия1!A16:B48,2,0)</f>
        <v>10</v>
      </c>
      <c r="F17" s="1">
        <f>VLOOKUP(A17,Кутия2!A16:B48,2,0)</f>
        <v>11</v>
      </c>
      <c r="G17" s="1">
        <f>VLOOKUP(A17,Кутия3!A16:B48,2,0)</f>
        <v>5</v>
      </c>
      <c r="H17" s="20">
        <f t="shared" si="0"/>
        <v>26</v>
      </c>
    </row>
    <row r="18" spans="1:8" ht="15.75" x14ac:dyDescent="0.25">
      <c r="A18" s="27">
        <v>117</v>
      </c>
      <c r="B18" s="28">
        <f>VLOOKUP(A18,Кандидати!A17:D50,2,0)</f>
        <v>9</v>
      </c>
      <c r="C18" s="28" t="str">
        <f>VLOOKUP(A18,Кандидати!A17:D50,3,0)</f>
        <v>а</v>
      </c>
      <c r="D18" s="28" t="str">
        <f>VLOOKUP(A18,Кандидати!A17:D50,4,0)</f>
        <v>Десислава Стоянова</v>
      </c>
      <c r="E18" s="1">
        <f>VLOOKUP(A18,Кутия1!A17:B49,2,0)</f>
        <v>5</v>
      </c>
      <c r="F18" s="1">
        <f>VLOOKUP(A18,Кутия2!A17:B49,2,0)</f>
        <v>10</v>
      </c>
      <c r="G18" s="1">
        <f>VLOOKUP(A18,Кутия3!A17:B49,2,0)</f>
        <v>10</v>
      </c>
      <c r="H18" s="20">
        <f t="shared" si="0"/>
        <v>25</v>
      </c>
    </row>
    <row r="19" spans="1:8" ht="15.75" x14ac:dyDescent="0.25">
      <c r="A19" s="27">
        <v>118</v>
      </c>
      <c r="B19" s="28">
        <f>VLOOKUP(A19,Кандидати!A18:D51,2,0)</f>
        <v>9</v>
      </c>
      <c r="C19" s="28" t="str">
        <f>VLOOKUP(A19,Кандидати!A18:D51,3,0)</f>
        <v>б</v>
      </c>
      <c r="D19" s="28" t="str">
        <f>VLOOKUP(A19,Кандидати!A18:D51,4,0)</f>
        <v>Васил Желязков</v>
      </c>
      <c r="E19" s="1">
        <f>VLOOKUP(A19,Кутия1!A18:B50,2,0)</f>
        <v>12</v>
      </c>
      <c r="F19" s="1">
        <f>VLOOKUP(A19,Кутия2!A18:B50,2,0)</f>
        <v>9</v>
      </c>
      <c r="G19" s="1">
        <f>VLOOKUP(A19,Кутия3!A18:B50,2,0)</f>
        <v>11</v>
      </c>
      <c r="H19" s="20">
        <f t="shared" si="0"/>
        <v>32</v>
      </c>
    </row>
    <row r="20" spans="1:8" ht="15.75" x14ac:dyDescent="0.25">
      <c r="A20" s="27">
        <v>119</v>
      </c>
      <c r="B20" s="28">
        <f>VLOOKUP(A20,Кандидати!A19:D52,2,0)</f>
        <v>9</v>
      </c>
      <c r="C20" s="28" t="str">
        <f>VLOOKUP(A20,Кандидати!A19:D52,3,0)</f>
        <v>в</v>
      </c>
      <c r="D20" s="28" t="str">
        <f>VLOOKUP(A20,Кандидати!A19:D52,4,0)</f>
        <v>Надежда Борисова</v>
      </c>
      <c r="E20" s="1">
        <f>VLOOKUP(A20,Кутия1!A19:B51,2,0)</f>
        <v>13</v>
      </c>
      <c r="F20" s="1">
        <f>VLOOKUP(A20,Кутия2!A19:B51,2,0)</f>
        <v>10</v>
      </c>
      <c r="G20" s="1">
        <f>VLOOKUP(A20,Кутия3!A19:B51,2,0)</f>
        <v>3</v>
      </c>
      <c r="H20" s="20">
        <f t="shared" si="0"/>
        <v>26</v>
      </c>
    </row>
    <row r="21" spans="1:8" ht="15.75" x14ac:dyDescent="0.25">
      <c r="A21" s="27">
        <v>120</v>
      </c>
      <c r="B21" s="28">
        <f>VLOOKUP(A21,Кандидати!A20:D53,2,0)</f>
        <v>9</v>
      </c>
      <c r="C21" s="28" t="str">
        <f>VLOOKUP(A21,Кандидати!A20:D53,3,0)</f>
        <v>г</v>
      </c>
      <c r="D21" s="28" t="str">
        <f>VLOOKUP(A21,Кандидати!A20:D53,4,0)</f>
        <v>Любомир Младенов</v>
      </c>
      <c r="E21" s="1">
        <f>VLOOKUP(A21,Кутия1!A20:B52,2,0)</f>
        <v>8</v>
      </c>
      <c r="F21" s="1">
        <f>VLOOKUP(A21,Кутия2!A20:B52,2,0)</f>
        <v>11</v>
      </c>
      <c r="G21" s="1">
        <f>VLOOKUP(A21,Кутия3!A20:B52,2,0)</f>
        <v>12</v>
      </c>
      <c r="H21" s="20">
        <f t="shared" si="0"/>
        <v>31</v>
      </c>
    </row>
    <row r="22" spans="1:8" ht="15.75" x14ac:dyDescent="0.25">
      <c r="A22" s="27">
        <v>121</v>
      </c>
      <c r="B22" s="28">
        <f>VLOOKUP(A22,Кандидати!A21:D54,2,0)</f>
        <v>10</v>
      </c>
      <c r="C22" s="28" t="str">
        <f>VLOOKUP(A22,Кандидати!A21:D54,3,0)</f>
        <v>а</v>
      </c>
      <c r="D22" s="28" t="str">
        <f>VLOOKUP(A22,Кандидати!A21:D54,4,0)</f>
        <v>Ралица Николова</v>
      </c>
      <c r="E22" s="1">
        <f>VLOOKUP(A22,Кутия1!A21:B53,2,0)</f>
        <v>12</v>
      </c>
      <c r="F22" s="1">
        <f>VLOOKUP(A22,Кутия2!A21:B53,2,0)</f>
        <v>8</v>
      </c>
      <c r="G22" s="1">
        <f>VLOOKUP(A22,Кутия3!A21:B53,2,0)</f>
        <v>9</v>
      </c>
      <c r="H22" s="20">
        <f t="shared" si="0"/>
        <v>29</v>
      </c>
    </row>
    <row r="23" spans="1:8" ht="15.75" x14ac:dyDescent="0.25">
      <c r="A23" s="27">
        <v>122</v>
      </c>
      <c r="B23" s="28">
        <f>VLOOKUP(A23,Кандидати!A22:D55,2,0)</f>
        <v>10</v>
      </c>
      <c r="C23" s="28" t="str">
        <f>VLOOKUP(A23,Кандидати!A22:D55,3,0)</f>
        <v>б</v>
      </c>
      <c r="D23" s="28" t="str">
        <f>VLOOKUP(A23,Кандидати!A22:D55,4,0)</f>
        <v>Александър Тодоров</v>
      </c>
      <c r="E23" s="1">
        <f>VLOOKUP(A23,Кутия1!A22:B54,2,0)</f>
        <v>9</v>
      </c>
      <c r="F23" s="1">
        <f>VLOOKUP(A23,Кутия2!A22:B54,2,0)</f>
        <v>12</v>
      </c>
      <c r="G23" s="1">
        <f>VLOOKUP(A23,Кутия3!A22:B54,2,0)</f>
        <v>5</v>
      </c>
      <c r="H23" s="20">
        <f t="shared" si="0"/>
        <v>26</v>
      </c>
    </row>
    <row r="24" spans="1:8" ht="15.75" x14ac:dyDescent="0.25">
      <c r="A24" s="27">
        <v>123</v>
      </c>
      <c r="B24" s="28">
        <f>VLOOKUP(A24,Кандидати!A23:D56,2,0)</f>
        <v>10</v>
      </c>
      <c r="C24" s="28" t="str">
        <f>VLOOKUP(A24,Кандидати!A23:D56,3,0)</f>
        <v>в</v>
      </c>
      <c r="D24" s="28" t="str">
        <f>VLOOKUP(A24,Кандидати!A23:D56,4,0)</f>
        <v>Силвия Любомирова</v>
      </c>
      <c r="E24" s="1">
        <f>VLOOKUP(A24,Кутия1!A23:B55,2,0)</f>
        <v>12</v>
      </c>
      <c r="F24" s="1">
        <f>VLOOKUP(A24,Кутия2!A23:B55,2,0)</f>
        <v>9</v>
      </c>
      <c r="G24" s="1">
        <f>VLOOKUP(A24,Кутия3!A23:B55,2,0)</f>
        <v>10</v>
      </c>
      <c r="H24" s="20">
        <f t="shared" si="0"/>
        <v>31</v>
      </c>
    </row>
    <row r="25" spans="1:8" ht="15.75" x14ac:dyDescent="0.25">
      <c r="A25" s="27">
        <v>124</v>
      </c>
      <c r="B25" s="28">
        <f>VLOOKUP(A25,Кандидати!A24:D57,2,0)</f>
        <v>10</v>
      </c>
      <c r="C25" s="28" t="str">
        <f>VLOOKUP(A25,Кандидати!A24:D57,3,0)</f>
        <v>г</v>
      </c>
      <c r="D25" s="28" t="str">
        <f>VLOOKUP(A25,Кандидати!A24:D57,4,0)</f>
        <v>Георги Георгиев</v>
      </c>
      <c r="E25" s="1">
        <f>VLOOKUP(A25,Кутия1!A24:B56,2,0)</f>
        <v>11</v>
      </c>
      <c r="F25" s="1">
        <f>VLOOKUP(A25,Кутия2!A24:B56,2,0)</f>
        <v>12</v>
      </c>
      <c r="G25" s="1">
        <f>VLOOKUP(A25,Кутия3!A24:B56,2,0)</f>
        <v>9</v>
      </c>
      <c r="H25" s="20">
        <f t="shared" si="0"/>
        <v>32</v>
      </c>
    </row>
    <row r="26" spans="1:8" ht="15.75" x14ac:dyDescent="0.25">
      <c r="A26" s="27">
        <v>125</v>
      </c>
      <c r="B26" s="28">
        <f>VLOOKUP(A26,Кандидати!A25:D58,2,0)</f>
        <v>11</v>
      </c>
      <c r="C26" s="28" t="str">
        <f>VLOOKUP(A26,Кандидати!A25:D58,3,0)</f>
        <v>а</v>
      </c>
      <c r="D26" s="28" t="str">
        <f>VLOOKUP(A26,Кандидати!A25:D58,4,0)</f>
        <v>Катерина Василева</v>
      </c>
      <c r="E26" s="1">
        <f>VLOOKUP(A26,Кутия1!A25:B57,2,0)</f>
        <v>13</v>
      </c>
      <c r="F26" s="1">
        <f>VLOOKUP(A26,Кутия2!A25:B57,2,0)</f>
        <v>7</v>
      </c>
      <c r="G26" s="1">
        <f>VLOOKUP(A26,Кутия3!A25:B57,2,0)</f>
        <v>8</v>
      </c>
      <c r="H26" s="20">
        <f t="shared" si="0"/>
        <v>28</v>
      </c>
    </row>
    <row r="27" spans="1:8" ht="15.75" x14ac:dyDescent="0.25">
      <c r="A27" s="27">
        <v>126</v>
      </c>
      <c r="B27" s="28">
        <f>VLOOKUP(A27,Кандидати!A26:D59,2,0)</f>
        <v>11</v>
      </c>
      <c r="C27" s="28" t="str">
        <f>VLOOKUP(A27,Кандидати!A26:D59,3,0)</f>
        <v>б</v>
      </c>
      <c r="D27" s="28" t="str">
        <f>VLOOKUP(A27,Кандидати!A26:D59,4,0)</f>
        <v>Николай Костов</v>
      </c>
      <c r="E27" s="1">
        <f>VLOOKUP(A27,Кутия1!A26:B58,2,0)</f>
        <v>11</v>
      </c>
      <c r="F27" s="1">
        <f>VLOOKUP(A27,Кутия2!A26:B58,2,0)</f>
        <v>3</v>
      </c>
      <c r="G27" s="1">
        <f>VLOOKUP(A27,Кутия3!A26:B58,2,0)</f>
        <v>12</v>
      </c>
      <c r="H27" s="20">
        <f t="shared" si="0"/>
        <v>26</v>
      </c>
    </row>
    <row r="28" spans="1:8" ht="15.75" x14ac:dyDescent="0.25">
      <c r="A28" s="27">
        <v>127</v>
      </c>
      <c r="B28" s="28">
        <f>VLOOKUP(A28,Кандидати!A27:D60,2,0)</f>
        <v>11</v>
      </c>
      <c r="C28" s="28" t="str">
        <f>VLOOKUP(A28,Кандидати!A27:D60,3,0)</f>
        <v>в</v>
      </c>
      <c r="D28" s="28" t="str">
        <f>VLOOKUP(A28,Кандидати!A27:D60,4,0)</f>
        <v>Адриана Ангелова</v>
      </c>
      <c r="E28" s="1">
        <f>VLOOKUP(A28,Кутия1!A27:B59,2,0)</f>
        <v>9</v>
      </c>
      <c r="F28" s="1">
        <f>VLOOKUP(A28,Кутия2!A27:B59,2,0)</f>
        <v>6</v>
      </c>
      <c r="G28" s="1">
        <f>VLOOKUP(A28,Кутия3!A27:B59,2,0)</f>
        <v>9</v>
      </c>
      <c r="H28" s="20">
        <f t="shared" si="0"/>
        <v>24</v>
      </c>
    </row>
    <row r="29" spans="1:8" ht="15.75" x14ac:dyDescent="0.25">
      <c r="A29" s="27">
        <v>128</v>
      </c>
      <c r="B29" s="28">
        <f>VLOOKUP(A29,Кандидати!A28:D61,2,0)</f>
        <v>11</v>
      </c>
      <c r="C29" s="28" t="str">
        <f>VLOOKUP(A29,Кандидати!A28:D61,3,0)</f>
        <v>г</v>
      </c>
      <c r="D29" s="28" t="str">
        <f>VLOOKUP(A29,Кандидати!A28:D61,4,0)</f>
        <v>Иван Йорданов</v>
      </c>
      <c r="E29" s="1">
        <f>VLOOKUP(A29,Кутия1!A28:B60,2,0)</f>
        <v>8</v>
      </c>
      <c r="F29" s="1">
        <f>VLOOKUP(A29,Кутия2!A28:B60,2,0)</f>
        <v>4</v>
      </c>
      <c r="G29" s="1">
        <f>VLOOKUP(A29,Кутия3!A28:B60,2,0)</f>
        <v>12</v>
      </c>
      <c r="H29" s="20">
        <f t="shared" si="0"/>
        <v>24</v>
      </c>
    </row>
    <row r="30" spans="1:8" ht="15.75" x14ac:dyDescent="0.25">
      <c r="A30" s="27">
        <v>129</v>
      </c>
      <c r="B30" s="28">
        <f>VLOOKUP(A30,Кандидати!A29:D62,2,0)</f>
        <v>12</v>
      </c>
      <c r="C30" s="28" t="str">
        <f>VLOOKUP(A30,Кандидати!A29:D62,3,0)</f>
        <v>а</v>
      </c>
      <c r="D30" s="28" t="str">
        <f>VLOOKUP(A30,Кандидати!A29:D62,4,0)</f>
        <v>Мария Петрова</v>
      </c>
      <c r="E30" s="1">
        <f>VLOOKUP(A30,Кутия1!A29:B61,2,0)</f>
        <v>13</v>
      </c>
      <c r="F30" s="1">
        <f>VLOOKUP(A30,Кутия2!A29:B61,2,0)</f>
        <v>6</v>
      </c>
      <c r="G30" s="1">
        <f>VLOOKUP(A30,Кутия3!A29:B61,2,0)</f>
        <v>14</v>
      </c>
      <c r="H30" s="20">
        <f t="shared" si="0"/>
        <v>33</v>
      </c>
    </row>
    <row r="31" spans="1:8" ht="15.75" x14ac:dyDescent="0.25">
      <c r="A31" s="27">
        <v>130</v>
      </c>
      <c r="B31" s="28">
        <f>VLOOKUP(A31,Кандидати!A30:D63,2,0)</f>
        <v>12</v>
      </c>
      <c r="C31" s="28" t="str">
        <f>VLOOKUP(A31,Кандидати!A30:D63,3,0)</f>
        <v>б</v>
      </c>
      <c r="D31" s="28" t="str">
        <f>VLOOKUP(A31,Кандидати!A30:D63,4,0)</f>
        <v>Димитър Маринов</v>
      </c>
      <c r="E31" s="1">
        <f>VLOOKUP(A31,Кутия1!A30:B62,2,0)</f>
        <v>10</v>
      </c>
      <c r="F31" s="1">
        <f>VLOOKUP(A31,Кутия2!A30:B62,2,0)</f>
        <v>10</v>
      </c>
      <c r="G31" s="1">
        <f>VLOOKUP(A31,Кутия3!A30:B62,2,0)</f>
        <v>11</v>
      </c>
      <c r="H31" s="20">
        <f t="shared" si="0"/>
        <v>31</v>
      </c>
    </row>
    <row r="32" spans="1:8" ht="15.75" x14ac:dyDescent="0.25">
      <c r="A32" s="27">
        <v>131</v>
      </c>
      <c r="B32" s="28">
        <f>VLOOKUP(A32,Кандидати!A31:D64,2,0)</f>
        <v>12</v>
      </c>
      <c r="C32" s="28" t="str">
        <f>VLOOKUP(A32,Кандидати!A31:D64,3,0)</f>
        <v>в</v>
      </c>
      <c r="D32" s="28" t="str">
        <f>VLOOKUP(A32,Кандидати!A31:D64,4,0)</f>
        <v>Тодор Стоянов</v>
      </c>
      <c r="E32" s="1">
        <f>VLOOKUP(A32,Кутия1!A31:B63,2,0)</f>
        <v>4</v>
      </c>
      <c r="F32" s="1">
        <f>VLOOKUP(A32,Кутия2!A31:B63,2,0)</f>
        <v>14</v>
      </c>
      <c r="G32" s="1">
        <f>VLOOKUP(A32,Кутия3!A31:B63,2,0)</f>
        <v>10</v>
      </c>
      <c r="H32" s="20">
        <f t="shared" si="0"/>
        <v>28</v>
      </c>
    </row>
    <row r="33" spans="1:8" ht="15.75" x14ac:dyDescent="0.25">
      <c r="A33" s="29">
        <v>132</v>
      </c>
      <c r="B33" s="30">
        <f>VLOOKUP(A33,Кандидати!A32:D65,2,0)</f>
        <v>12</v>
      </c>
      <c r="C33" s="30" t="str">
        <f>VLOOKUP(A33,Кандидати!A32:D65,3,0)</f>
        <v>г</v>
      </c>
      <c r="D33" s="30" t="str">
        <f>VLOOKUP(A33,Кандидати!A32:D65,4,0)</f>
        <v>Милена Желязкова</v>
      </c>
      <c r="E33" s="23">
        <f>VLOOKUP(A33,Кутия1!A32:B64,2,0)</f>
        <v>12</v>
      </c>
      <c r="F33" s="23">
        <f>VLOOKUP(A33,Кутия2!A32:B64,2,0)</f>
        <v>12</v>
      </c>
      <c r="G33" s="23">
        <f>VLOOKUP(A33,Кутия3!A32:B64,2,0)</f>
        <v>10</v>
      </c>
      <c r="H33" s="24">
        <f t="shared" si="0"/>
        <v>34</v>
      </c>
    </row>
    <row r="34" spans="1:8" x14ac:dyDescent="0.25">
      <c r="H34">
        <f>SUM(H2:H33)</f>
        <v>825</v>
      </c>
    </row>
  </sheetData>
  <sheetProtection algorithmName="SHA-512" hashValue="ZC3y3IHuCI9TrdBGShkrKINVTa98JJOmHNjwQB8SNVCcqQkKKH7nvH6DK1mu4we2YUR157NIJDUg6+QWh16ZjA==" saltValue="5dH8Kyo4LvLZC3WcvMTd0A==" spinCount="100000" sheet="1" objects="1" scenarios="1"/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9800F-9E5F-497A-B131-5D22A26A438E}">
  <dimension ref="A1:K50"/>
  <sheetViews>
    <sheetView workbookViewId="0">
      <selection sqref="A1:B9"/>
    </sheetView>
  </sheetViews>
  <sheetFormatPr defaultRowHeight="15" x14ac:dyDescent="0.25"/>
  <cols>
    <col min="1" max="1" width="11.28515625" bestFit="1" customWidth="1"/>
    <col min="2" max="2" width="13.140625" bestFit="1" customWidth="1"/>
    <col min="3" max="3" width="17.28515625" bestFit="1" customWidth="1"/>
    <col min="4" max="4" width="20.7109375" bestFit="1" customWidth="1"/>
    <col min="5" max="5" width="13.42578125" bestFit="1" customWidth="1"/>
    <col min="6" max="6" width="15.85546875" bestFit="1" customWidth="1"/>
    <col min="7" max="7" width="16" bestFit="1" customWidth="1"/>
    <col min="8" max="8" width="13.85546875" bestFit="1" customWidth="1"/>
    <col min="9" max="9" width="19.7109375" bestFit="1" customWidth="1"/>
    <col min="10" max="10" width="17.85546875" bestFit="1" customWidth="1"/>
    <col min="11" max="11" width="18.42578125" bestFit="1" customWidth="1"/>
    <col min="12" max="12" width="18.5703125" bestFit="1" customWidth="1"/>
    <col min="13" max="13" width="14.7109375" bestFit="1" customWidth="1"/>
    <col min="14" max="14" width="15.5703125" bestFit="1" customWidth="1"/>
    <col min="15" max="15" width="12.7109375" bestFit="1" customWidth="1"/>
    <col min="16" max="16" width="15.42578125" bestFit="1" customWidth="1"/>
    <col min="17" max="17" width="18.85546875" bestFit="1" customWidth="1"/>
    <col min="18" max="18" width="18.7109375" bestFit="1" customWidth="1"/>
    <col min="19" max="19" width="20.42578125" bestFit="1" customWidth="1"/>
    <col min="20" max="20" width="14.28515625" bestFit="1" customWidth="1"/>
    <col min="21" max="21" width="15.28515625" bestFit="1" customWidth="1"/>
    <col min="22" max="22" width="14.42578125" bestFit="1" customWidth="1"/>
    <col min="23" max="23" width="19.140625" bestFit="1" customWidth="1"/>
    <col min="24" max="24" width="16.5703125" bestFit="1" customWidth="1"/>
    <col min="25" max="25" width="18.85546875" bestFit="1" customWidth="1"/>
    <col min="26" max="26" width="15.5703125" bestFit="1" customWidth="1"/>
    <col min="27" max="27" width="18.42578125" bestFit="1" customWidth="1"/>
    <col min="28" max="28" width="17" bestFit="1" customWidth="1"/>
    <col min="29" max="29" width="20.42578125" bestFit="1" customWidth="1"/>
    <col min="30" max="30" width="14.85546875" bestFit="1" customWidth="1"/>
    <col min="31" max="31" width="16.5703125" bestFit="1" customWidth="1"/>
    <col min="32" max="32" width="14.7109375" bestFit="1" customWidth="1"/>
    <col min="33" max="33" width="16.28515625" bestFit="1" customWidth="1"/>
    <col min="34" max="34" width="11.28515625" bestFit="1" customWidth="1"/>
  </cols>
  <sheetData>
    <row r="1" spans="1:2" x14ac:dyDescent="0.25">
      <c r="A1" s="17" t="s">
        <v>1</v>
      </c>
      <c r="B1" s="1" t="s">
        <v>41</v>
      </c>
    </row>
    <row r="2" spans="1:2" x14ac:dyDescent="0.25">
      <c r="A2" s="18">
        <v>12</v>
      </c>
      <c r="B2" s="19">
        <v>126</v>
      </c>
    </row>
    <row r="3" spans="1:2" x14ac:dyDescent="0.25">
      <c r="A3" s="18">
        <v>10</v>
      </c>
      <c r="B3" s="19">
        <v>118</v>
      </c>
    </row>
    <row r="4" spans="1:2" x14ac:dyDescent="0.25">
      <c r="A4" s="18">
        <v>9</v>
      </c>
      <c r="B4" s="19">
        <v>114</v>
      </c>
    </row>
    <row r="5" spans="1:2" x14ac:dyDescent="0.25">
      <c r="A5" s="18">
        <v>7</v>
      </c>
      <c r="B5" s="19">
        <v>105</v>
      </c>
    </row>
    <row r="6" spans="1:2" x14ac:dyDescent="0.25">
      <c r="A6" s="18">
        <v>8</v>
      </c>
      <c r="B6" s="19">
        <v>103</v>
      </c>
    </row>
    <row r="7" spans="1:2" x14ac:dyDescent="0.25">
      <c r="A7" s="18">
        <v>11</v>
      </c>
      <c r="B7" s="19">
        <v>102</v>
      </c>
    </row>
    <row r="8" spans="1:2" x14ac:dyDescent="0.25">
      <c r="A8" s="18">
        <v>6</v>
      </c>
      <c r="B8" s="19">
        <v>84</v>
      </c>
    </row>
    <row r="9" spans="1:2" x14ac:dyDescent="0.25">
      <c r="A9" s="18">
        <v>5</v>
      </c>
      <c r="B9" s="19">
        <v>73</v>
      </c>
    </row>
    <row r="10" spans="1:2" x14ac:dyDescent="0.25">
      <c r="A10" s="18" t="s">
        <v>46</v>
      </c>
      <c r="B10" s="19">
        <v>825</v>
      </c>
    </row>
    <row r="33" spans="9:11" x14ac:dyDescent="0.25">
      <c r="I33" s="8"/>
      <c r="J33" s="9"/>
      <c r="K33" s="10"/>
    </row>
    <row r="34" spans="9:11" x14ac:dyDescent="0.25">
      <c r="I34" s="11"/>
      <c r="J34" s="12"/>
      <c r="K34" s="13"/>
    </row>
    <row r="35" spans="9:11" x14ac:dyDescent="0.25">
      <c r="I35" s="11"/>
      <c r="J35" s="12"/>
      <c r="K35" s="13"/>
    </row>
    <row r="36" spans="9:11" x14ac:dyDescent="0.25">
      <c r="I36" s="11"/>
      <c r="J36" s="12"/>
      <c r="K36" s="13"/>
    </row>
    <row r="37" spans="9:11" x14ac:dyDescent="0.25">
      <c r="I37" s="11"/>
      <c r="J37" s="12"/>
      <c r="K37" s="13"/>
    </row>
    <row r="38" spans="9:11" x14ac:dyDescent="0.25">
      <c r="I38" s="11"/>
      <c r="J38" s="12"/>
      <c r="K38" s="13"/>
    </row>
    <row r="39" spans="9:11" x14ac:dyDescent="0.25">
      <c r="I39" s="11"/>
      <c r="J39" s="12"/>
      <c r="K39" s="13"/>
    </row>
    <row r="40" spans="9:11" x14ac:dyDescent="0.25">
      <c r="I40" s="11"/>
      <c r="J40" s="12"/>
      <c r="K40" s="13"/>
    </row>
    <row r="41" spans="9:11" x14ac:dyDescent="0.25">
      <c r="I41" s="11"/>
      <c r="J41" s="12"/>
      <c r="K41" s="13"/>
    </row>
    <row r="42" spans="9:11" x14ac:dyDescent="0.25">
      <c r="I42" s="11"/>
      <c r="J42" s="12"/>
      <c r="K42" s="13"/>
    </row>
    <row r="43" spans="9:11" x14ac:dyDescent="0.25">
      <c r="I43" s="11"/>
      <c r="J43" s="12"/>
      <c r="K43" s="13"/>
    </row>
    <row r="44" spans="9:11" x14ac:dyDescent="0.25">
      <c r="I44" s="11"/>
      <c r="J44" s="12"/>
      <c r="K44" s="13"/>
    </row>
    <row r="45" spans="9:11" x14ac:dyDescent="0.25">
      <c r="I45" s="11"/>
      <c r="J45" s="12"/>
      <c r="K45" s="13"/>
    </row>
    <row r="46" spans="9:11" x14ac:dyDescent="0.25">
      <c r="I46" s="11"/>
      <c r="J46" s="12"/>
      <c r="K46" s="13"/>
    </row>
    <row r="47" spans="9:11" x14ac:dyDescent="0.25">
      <c r="I47" s="11"/>
      <c r="J47" s="12"/>
      <c r="K47" s="13"/>
    </row>
    <row r="48" spans="9:11" x14ac:dyDescent="0.25">
      <c r="I48" s="11"/>
      <c r="J48" s="12"/>
      <c r="K48" s="13"/>
    </row>
    <row r="49" spans="9:11" x14ac:dyDescent="0.25">
      <c r="I49" s="11"/>
      <c r="J49" s="12"/>
      <c r="K49" s="13"/>
    </row>
    <row r="50" spans="9:11" x14ac:dyDescent="0.25">
      <c r="I50" s="14"/>
      <c r="J50" s="15"/>
      <c r="K50" s="16"/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Кандидати</vt:lpstr>
      <vt:lpstr>Кутия1</vt:lpstr>
      <vt:lpstr>Кутия2</vt:lpstr>
      <vt:lpstr>Кутия3</vt:lpstr>
      <vt:lpstr>Резултати</vt:lpstr>
      <vt:lpstr>Резултати по класове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DChardakova</dc:creator>
  <cp:lastModifiedBy>user1</cp:lastModifiedBy>
  <dcterms:created xsi:type="dcterms:W3CDTF">2024-02-10T20:11:13Z</dcterms:created>
  <dcterms:modified xsi:type="dcterms:W3CDTF">2025-02-28T10:12:53Z</dcterms:modified>
</cp:coreProperties>
</file>